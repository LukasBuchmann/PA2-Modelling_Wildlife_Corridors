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ZHAW\5.Semester\PA2\"/>
    </mc:Choice>
  </mc:AlternateContent>
  <xr:revisionPtr revIDLastSave="0" documentId="13_ncr:1_{904670C5-2F63-4302-A1D8-152972411DFD}"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11" l="1"/>
  <c r="F17" i="11"/>
  <c r="F23" i="11"/>
  <c r="F28" i="11"/>
  <c r="E28" i="11" s="1"/>
  <c r="F26" i="11"/>
  <c r="E26" i="11" s="1"/>
  <c r="F25" i="11" s="1"/>
  <c r="F16" i="11"/>
  <c r="F19" i="11"/>
  <c r="E20" i="11" s="1"/>
  <c r="F20" i="11" s="1"/>
  <c r="E21" i="11" s="1"/>
  <c r="F21" i="11" s="1"/>
  <c r="E22" i="11" s="1"/>
  <c r="F22" i="11" s="1"/>
  <c r="E9" i="11"/>
  <c r="H7" i="11"/>
  <c r="H32" i="11" l="1"/>
  <c r="H31" i="11"/>
  <c r="I5" i="11"/>
  <c r="H24" i="11"/>
  <c r="H18" i="11"/>
  <c r="H12" i="11"/>
  <c r="H8" i="11"/>
  <c r="H19" i="11" l="1"/>
  <c r="H20" i="11"/>
  <c r="H9" i="11"/>
  <c r="H29" i="11" l="1"/>
  <c r="H28" i="11"/>
  <c r="H25" i="11"/>
  <c r="H23" i="11"/>
  <c r="H10" i="11"/>
  <c r="H21" i="11"/>
  <c r="F14" i="11"/>
  <c r="F13" i="11"/>
  <c r="H13" i="11" s="1"/>
  <c r="J5" i="11"/>
  <c r="K5" i="11" s="1"/>
  <c r="L5" i="11" s="1"/>
  <c r="M5" i="11" s="1"/>
  <c r="N5" i="11" s="1"/>
  <c r="O5" i="11" s="1"/>
  <c r="P5" i="11" s="1"/>
  <c r="H26" i="11" l="1"/>
  <c r="H27" i="11"/>
  <c r="H22" i="11"/>
  <c r="H14" i="11"/>
  <c r="Q5" i="11"/>
  <c r="R5" i="11" s="1"/>
  <c r="S5" i="11" s="1"/>
  <c r="T5" i="11" s="1"/>
  <c r="U5" i="11" s="1"/>
  <c r="V5" i="11" s="1"/>
  <c r="W5" i="11" s="1"/>
  <c r="H17" i="11" l="1"/>
  <c r="H16" i="11"/>
  <c r="H15" i="11"/>
  <c r="X5" i="11"/>
  <c r="Y5" i="11" s="1"/>
  <c r="Z5" i="11" s="1"/>
  <c r="AA5" i="11" s="1"/>
  <c r="AB5" i="11" s="1"/>
  <c r="AC5" i="11" s="1"/>
  <c r="AD5" i="11" s="1"/>
  <c r="AE5" i="11" l="1"/>
  <c r="AF5" i="11" s="1"/>
  <c r="AG5" i="11" s="1"/>
  <c r="AH5" i="11" s="1"/>
  <c r="AI5" i="11" s="1"/>
  <c r="AJ5" i="11" s="1"/>
  <c r="AK5" i="11" l="1"/>
  <c r="AL5" i="11" s="1"/>
  <c r="AM5" i="11" s="1"/>
  <c r="AN5" i="11" s="1"/>
  <c r="AO5" i="11" s="1"/>
  <c r="AP5" i="11" s="1"/>
  <c r="AQ5" i="11" s="1"/>
  <c r="AR5" i="11" l="1"/>
  <c r="AS5" i="11" s="1"/>
  <c r="AT5" i="11" l="1"/>
  <c r="AU5" i="11" l="1"/>
  <c r="AV5" i="11" l="1"/>
  <c r="AW5" i="11" l="1"/>
  <c r="AX5" i="11" l="1"/>
  <c r="AY5" i="11" s="1"/>
  <c r="AZ5" i="11" l="1"/>
  <c r="BA5" i="11" l="1"/>
  <c r="BB5" i="11" l="1"/>
  <c r="BC5" i="11" l="1"/>
  <c r="BD5" i="11" l="1"/>
  <c r="BE5" i="11" l="1"/>
  <c r="BF5" i="11" l="1"/>
  <c r="BG5" i="11" l="1"/>
  <c r="BH5" i="11" l="1"/>
  <c r="BI5" i="11" l="1"/>
  <c r="BJ5" i="11" l="1"/>
  <c r="BK5" i="11" l="1"/>
  <c r="BL5" i="11" l="1"/>
  <c r="BM5" i="11" s="1"/>
  <c r="BN5" i="11" l="1"/>
  <c r="BO5" i="11" l="1"/>
  <c r="BP5" i="11" l="1"/>
  <c r="BQ5" i="11" l="1"/>
  <c r="BR5" i="11" l="1"/>
  <c r="BS5" i="11" l="1"/>
  <c r="BT5" i="11" l="1"/>
  <c r="BU5" i="11" l="1"/>
  <c r="BV5" i="11" l="1"/>
  <c r="BW5" i="11" l="1"/>
  <c r="BX5" i="11" l="1"/>
  <c r="BY5" i="11" l="1"/>
  <c r="BZ5" i="11" l="1"/>
  <c r="CA5" i="11" l="1"/>
  <c r="CB5" i="11" l="1"/>
  <c r="CC5" i="11" l="1"/>
  <c r="CD5" i="11" l="1"/>
  <c r="CE5" i="11" l="1"/>
  <c r="CF5" i="11" l="1"/>
  <c r="CG5" i="11" l="1"/>
  <c r="CH5" i="11" l="1"/>
  <c r="CI5" i="11" l="1"/>
  <c r="CJ5" i="11" l="1"/>
  <c r="CK5" i="11" l="1"/>
  <c r="CL5" i="11" l="1"/>
  <c r="CM5" i="11" l="1"/>
  <c r="CN5" i="11" l="1"/>
  <c r="CO5" i="11" l="1"/>
  <c r="CP5" i="11" l="1"/>
  <c r="CQ5" i="11" l="1"/>
  <c r="CR5" i="11" l="1"/>
  <c r="CS5" i="11" l="1"/>
  <c r="CT5" i="11" l="1"/>
  <c r="CU5" i="11" l="1"/>
  <c r="CV5" i="11" s="1"/>
  <c r="CW5" i="11" l="1"/>
  <c r="CX5" i="11" l="1"/>
  <c r="CY5" i="11" l="1"/>
  <c r="CZ5" i="11" l="1"/>
  <c r="DA5" i="11" l="1"/>
  <c r="DB5" i="11" l="1"/>
</calcChain>
</file>

<file path=xl/sharedStrings.xml><?xml version="1.0" encoding="utf-8"?>
<sst xmlns="http://schemas.openxmlformats.org/spreadsheetml/2006/main" count="184" uniqueCount="70">
  <si>
    <t>Project start:</t>
  </si>
  <si>
    <t>Display week:</t>
  </si>
  <si>
    <t>SIMPLE GANTT CHART by Vertex42.com</t>
  </si>
  <si>
    <t>TASK</t>
  </si>
  <si>
    <t>ASSIGNED TO</t>
  </si>
  <si>
    <t>PROGRESS</t>
  </si>
  <si>
    <t>START</t>
  </si>
  <si>
    <t>END</t>
  </si>
  <si>
    <t xml:space="preserve">Do not delete this row. This row is hidden to preserve a formula that is used to highlight the current day within the project schedule. </t>
  </si>
  <si>
    <t>Execution</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</si>
  <si>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</si>
  <si>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</si>
  <si>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</si>
  <si>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</si>
  <si>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</si>
  <si>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</si>
  <si>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</si>
  <si>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</si>
  <si>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</si>
  <si>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</si>
  <si>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</si>
  <si>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</si>
  <si>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</si>
  <si>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Modeling Wildlife Corridors</t>
  </si>
  <si>
    <t>Project Work 2</t>
  </si>
  <si>
    <t>Lukas Buchmann</t>
  </si>
  <si>
    <t>Data Acquisition</t>
  </si>
  <si>
    <t>Method Research</t>
  </si>
  <si>
    <t>Initiation and Planning</t>
  </si>
  <si>
    <t>Data Preparation</t>
  </si>
  <si>
    <t>Set up infrastructure</t>
  </si>
  <si>
    <t>Evaluation and Improvement</t>
  </si>
  <si>
    <t>First Resistance Surface</t>
  </si>
  <si>
    <t xml:space="preserve">Apply Least-Cost-Path </t>
  </si>
  <si>
    <t>First Basic Model</t>
  </si>
  <si>
    <t>Search Additional data</t>
  </si>
  <si>
    <t>Improve Model</t>
  </si>
  <si>
    <t>Evaluate Corridors</t>
  </si>
  <si>
    <t>Identify Corridors</t>
  </si>
  <si>
    <t>Final Model</t>
  </si>
  <si>
    <t>Paper Writing</t>
  </si>
  <si>
    <t>Final Paper Review</t>
  </si>
  <si>
    <t>Project Documentation and Presentation</t>
  </si>
  <si>
    <t>Paper Submission</t>
  </si>
  <si>
    <t>Presentation Preparation</t>
  </si>
  <si>
    <t>Presentation</t>
  </si>
  <si>
    <t>Disposition Submission</t>
  </si>
  <si>
    <t xml:space="preserve">Spatial Analysis of Topographic and Landscape </t>
  </si>
  <si>
    <t>Barriers to Enhance Ecological Connectivity</t>
  </si>
  <si>
    <t>KW 38</t>
  </si>
  <si>
    <t>KW 39</t>
  </si>
  <si>
    <t>KW 40</t>
  </si>
  <si>
    <t>KW 41</t>
  </si>
  <si>
    <t>KW 42</t>
  </si>
  <si>
    <t>KW 43</t>
  </si>
  <si>
    <t>KW 44</t>
  </si>
  <si>
    <t>KW 45</t>
  </si>
  <si>
    <t>KW 46</t>
  </si>
  <si>
    <t>KW 47</t>
  </si>
  <si>
    <t>KW 48</t>
  </si>
  <si>
    <t>KW 49</t>
  </si>
  <si>
    <t>KW 50</t>
  </si>
  <si>
    <t>KW 51</t>
  </si>
  <si>
    <t>M</t>
  </si>
  <si>
    <t>D</t>
  </si>
  <si>
    <t>F</t>
  </si>
  <si>
    <t>S</t>
  </si>
  <si>
    <t>Quality and Progress Review</t>
  </si>
  <si>
    <t>Pre-submission of work</t>
  </si>
  <si>
    <t>Meetings with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</si>
</sst>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30"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8"/>
      <color theme="9"/>
      <name val="Arial Black"/>
      <family val="2"/>
      <scheme val="major"/>
    </font>
    <font>
      <b/>
      <sz val="18"/>
      <color theme="9"/>
      <name val="Arial"/>
      <family val="2"/>
      <scheme val="minor"/>
    </font>
    <font>
      <b/>
      <sz val="22"/>
      <color theme="1"/>
      <name val="Arial"/>
      <family val="2"/>
      <scheme val="minor"/>
    </font>
    <font>
      <sz val="8"/>
      <name val="Arial"/>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FF0000"/>
        <bgColor indexed="64"/>
      </patternFill>
    </fill>
    <fill>
      <patternFill patternType="solid">
        <fgColor theme="7" tint="0.59999389629810485"/>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7">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4" fillId="0" borderId="0" xfId="0" applyFont="1"/>
    <xf numFmtId="0" fontId="4" fillId="0" borderId="0" xfId="8">
      <alignment horizontal="right" indent="1"/>
    </xf>
    <xf numFmtId="0" fontId="4" fillId="0" borderId="0" xfId="0" applyFont="1" applyAlignment="1">
      <alignment horizontal="center"/>
    </xf>
    <xf numFmtId="168" fontId="18" fillId="12" borderId="19" xfId="0" applyNumberFormat="1" applyFont="1" applyFill="1" applyBorder="1" applyAlignment="1">
      <alignment horizontal="center" vertical="center"/>
    </xf>
    <xf numFmtId="168" fontId="18" fillId="12" borderId="17" xfId="0" applyNumberFormat="1" applyFont="1" applyFill="1" applyBorder="1" applyAlignment="1">
      <alignment horizontal="center" vertical="center"/>
    </xf>
    <xf numFmtId="168" fontId="18" fillId="12" borderId="18" xfId="0" applyNumberFormat="1" applyFont="1" applyFill="1" applyBorder="1" applyAlignment="1">
      <alignment horizontal="center" vertical="center"/>
    </xf>
    <xf numFmtId="0" fontId="19" fillId="2" borderId="16" xfId="0" applyFont="1" applyFill="1" applyBorder="1" applyAlignment="1">
      <alignment horizontal="center" vertical="center" shrinkToFit="1"/>
    </xf>
    <xf numFmtId="0" fontId="19" fillId="2" borderId="14" xfId="0" applyFont="1" applyFill="1" applyBorder="1" applyAlignment="1">
      <alignment horizontal="center" vertical="center" shrinkToFit="1"/>
    </xf>
    <xf numFmtId="0" fontId="16" fillId="0" borderId="0" xfId="0" applyFont="1"/>
    <xf numFmtId="0" fontId="16" fillId="0" borderId="0" xfId="0" applyFont="1" applyAlignment="1">
      <alignment wrapText="1"/>
    </xf>
    <xf numFmtId="0" fontId="4" fillId="0" borderId="3" xfId="0" applyFont="1" applyBorder="1" applyAlignment="1">
      <alignment vertical="center"/>
    </xf>
    <xf numFmtId="0" fontId="20" fillId="6" borderId="0" xfId="0" applyFont="1" applyFill="1" applyAlignment="1">
      <alignment horizontal="left" vertical="center" indent="1"/>
    </xf>
    <xf numFmtId="0" fontId="16" fillId="6" borderId="0" xfId="11" applyFont="1" applyFill="1" applyBorder="1" applyAlignment="1">
      <alignment vertical="center"/>
    </xf>
    <xf numFmtId="9" fontId="1" fillId="6" borderId="0" xfId="2" applyFont="1" applyFill="1" applyBorder="1" applyAlignment="1">
      <alignment horizontal="center" vertical="center"/>
    </xf>
    <xf numFmtId="165" fontId="16"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6" fillId="3" borderId="6" xfId="12" applyFont="1" applyFill="1" applyBorder="1">
      <alignment horizontal="left" vertical="center" indent="2"/>
    </xf>
    <xf numFmtId="0" fontId="16" fillId="3" borderId="6" xfId="11" applyFont="1" applyFill="1" applyBorder="1" applyAlignment="1">
      <alignment vertical="center"/>
    </xf>
    <xf numFmtId="9" fontId="1" fillId="3" borderId="6" xfId="2" applyFont="1" applyFill="1" applyBorder="1" applyAlignment="1">
      <alignment horizontal="center" vertical="center"/>
    </xf>
    <xf numFmtId="165" fontId="16" fillId="3" borderId="6" xfId="10" applyFont="1" applyFill="1" applyBorder="1">
      <alignment horizontal="center" vertical="center"/>
    </xf>
    <xf numFmtId="0" fontId="4" fillId="0" borderId="4" xfId="0" applyFont="1" applyBorder="1" applyAlignment="1">
      <alignment vertical="center"/>
    </xf>
    <xf numFmtId="0" fontId="16" fillId="3" borderId="7" xfId="12" applyFont="1" applyFill="1" applyBorder="1">
      <alignment horizontal="left" vertical="center" indent="2"/>
    </xf>
    <xf numFmtId="0" fontId="16" fillId="3" borderId="7" xfId="11" applyFont="1" applyFill="1" applyBorder="1" applyAlignment="1">
      <alignment vertical="center"/>
    </xf>
    <xf numFmtId="9" fontId="1" fillId="3" borderId="7" xfId="2" applyFont="1" applyFill="1" applyBorder="1" applyAlignment="1">
      <alignment horizontal="center" vertical="center"/>
    </xf>
    <xf numFmtId="165" fontId="16" fillId="3" borderId="7" xfId="10" applyFont="1" applyFill="1" applyBorder="1">
      <alignment horizontal="center" vertical="center"/>
    </xf>
    <xf numFmtId="0" fontId="4" fillId="0" borderId="4" xfId="0" applyFont="1" applyBorder="1" applyAlignment="1">
      <alignment horizontal="right" vertical="center"/>
    </xf>
    <xf numFmtId="0" fontId="20" fillId="7" borderId="0" xfId="0" applyFont="1" applyFill="1" applyAlignment="1">
      <alignment horizontal="left" vertical="center" indent="1"/>
    </xf>
    <xf numFmtId="0" fontId="16" fillId="7" borderId="0" xfId="11" applyFont="1" applyFill="1" applyBorder="1" applyAlignment="1">
      <alignment vertical="center"/>
    </xf>
    <xf numFmtId="9" fontId="1" fillId="7" borderId="0" xfId="2" applyFont="1" applyFill="1" applyBorder="1" applyAlignment="1">
      <alignment horizontal="center" vertical="center"/>
    </xf>
    <xf numFmtId="165" fontId="16"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6" fillId="4" borderId="5" xfId="12" applyFont="1" applyFill="1" applyBorder="1">
      <alignment horizontal="left" vertical="center" indent="2"/>
    </xf>
    <xf numFmtId="0" fontId="16" fillId="4" borderId="5" xfId="11" applyFont="1" applyFill="1" applyBorder="1" applyAlignment="1">
      <alignment vertical="center"/>
    </xf>
    <xf numFmtId="9" fontId="1" fillId="4" borderId="5" xfId="2" applyFont="1" applyFill="1" applyBorder="1" applyAlignment="1">
      <alignment horizontal="center" vertical="center"/>
    </xf>
    <xf numFmtId="165" fontId="16" fillId="4" borderId="5" xfId="10" applyFont="1" applyFill="1" applyBorder="1">
      <alignment horizontal="center" vertical="center"/>
    </xf>
    <xf numFmtId="0" fontId="20" fillId="8" borderId="0" xfId="0" applyFont="1" applyFill="1" applyAlignment="1">
      <alignment horizontal="left" vertical="center" indent="1"/>
    </xf>
    <xf numFmtId="0" fontId="16" fillId="8" borderId="0" xfId="11" applyFont="1" applyFill="1" applyBorder="1" applyAlignment="1">
      <alignment vertical="center"/>
    </xf>
    <xf numFmtId="9" fontId="1" fillId="8" borderId="0" xfId="2" applyFont="1" applyFill="1" applyBorder="1" applyAlignment="1">
      <alignment horizontal="center" vertical="center"/>
    </xf>
    <xf numFmtId="165" fontId="16"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6" fillId="5" borderId="8" xfId="12" applyFont="1" applyFill="1" applyBorder="1">
      <alignment horizontal="left" vertical="center" indent="2"/>
    </xf>
    <xf numFmtId="0" fontId="16" fillId="5" borderId="8" xfId="11" applyFont="1" applyFill="1" applyBorder="1" applyAlignment="1">
      <alignment vertical="center"/>
    </xf>
    <xf numFmtId="9" fontId="1" fillId="5" borderId="8" xfId="2" applyFont="1" applyFill="1" applyBorder="1" applyAlignment="1">
      <alignment horizontal="center" vertical="center"/>
    </xf>
    <xf numFmtId="165" fontId="16" fillId="5" borderId="8" xfId="10" applyFont="1" applyFill="1" applyBorder="1">
      <alignment horizontal="center" vertical="center"/>
    </xf>
    <xf numFmtId="0" fontId="20" fillId="9" borderId="0" xfId="0" applyFont="1" applyFill="1" applyAlignment="1">
      <alignment horizontal="left" vertical="center" indent="1"/>
    </xf>
    <xf numFmtId="0" fontId="16" fillId="9" borderId="0" xfId="11" applyFont="1" applyFill="1" applyBorder="1" applyAlignment="1">
      <alignment vertical="center"/>
    </xf>
    <xf numFmtId="9" fontId="1" fillId="9" borderId="0" xfId="2" applyFont="1" applyFill="1" applyBorder="1" applyAlignment="1">
      <alignment horizontal="center" vertical="center"/>
    </xf>
    <xf numFmtId="165" fontId="16"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6" fillId="10" borderId="9" xfId="12" applyFont="1" applyFill="1" applyBorder="1">
      <alignment horizontal="left" vertical="center" indent="2"/>
    </xf>
    <xf numFmtId="0" fontId="16" fillId="10" borderId="9" xfId="11" applyFont="1" applyFill="1" applyBorder="1" applyAlignment="1">
      <alignment vertical="center"/>
    </xf>
    <xf numFmtId="9" fontId="1" fillId="10" borderId="9" xfId="2" applyFont="1" applyFill="1" applyBorder="1" applyAlignment="1">
      <alignment horizontal="center" vertical="center"/>
    </xf>
    <xf numFmtId="165" fontId="16" fillId="10" borderId="9" xfId="10" applyFont="1" applyFill="1" applyBorder="1">
      <alignment horizontal="center" vertical="center"/>
    </xf>
    <xf numFmtId="0" fontId="21" fillId="0" borderId="0" xfId="7" applyFont="1" applyAlignment="1">
      <alignment horizontal="left" vertical="center" indent="1"/>
    </xf>
    <xf numFmtId="0" fontId="7" fillId="0" borderId="0" xfId="0" applyFont="1" applyAlignment="1">
      <alignment horizontal="left" vertical="center" indent="1"/>
    </xf>
    <xf numFmtId="0" fontId="3" fillId="0" borderId="0" xfId="0" applyFont="1" applyAlignment="1">
      <alignment horizontal="left" vertical="top" indent="1"/>
    </xf>
    <xf numFmtId="0" fontId="21" fillId="0" borderId="0" xfId="0" applyFont="1" applyAlignment="1">
      <alignment horizontal="left" vertical="center" indent="1"/>
    </xf>
    <xf numFmtId="0" fontId="24" fillId="0" borderId="0" xfId="0" applyFont="1" applyAlignment="1">
      <alignment horizontal="left" vertical="top" wrapText="1" indent="1"/>
    </xf>
    <xf numFmtId="0" fontId="0" fillId="0" borderId="0" xfId="0" applyAlignment="1">
      <alignment horizontal="left" vertical="top" wrapText="1" indent="1"/>
    </xf>
    <xf numFmtId="0" fontId="25" fillId="0" borderId="0" xfId="1" applyFont="1" applyAlignment="1" applyProtection="1">
      <alignment horizontal="left" vertical="top" indent="1"/>
    </xf>
    <xf numFmtId="0" fontId="1" fillId="0" borderId="0" xfId="0" applyFont="1" applyAlignment="1">
      <alignment horizontal="left" vertical="top" indent="1"/>
    </xf>
    <xf numFmtId="0" fontId="11" fillId="0" borderId="0" xfId="3" applyAlignment="1">
      <alignment wrapText="1"/>
    </xf>
    <xf numFmtId="0" fontId="26" fillId="0" borderId="0" xfId="5" applyFont="1" applyAlignment="1">
      <alignment horizontal="left"/>
    </xf>
    <xf numFmtId="0" fontId="16" fillId="13" borderId="7" xfId="12" applyFont="1" applyFill="1" applyBorder="1">
      <alignment horizontal="left" vertical="center" indent="2"/>
    </xf>
    <xf numFmtId="0" fontId="16" fillId="13" borderId="7" xfId="11" applyFont="1" applyFill="1" applyBorder="1" applyAlignment="1">
      <alignment vertical="center"/>
    </xf>
    <xf numFmtId="9" fontId="1" fillId="13" borderId="7" xfId="2" applyFont="1" applyFill="1" applyBorder="1" applyAlignment="1">
      <alignment horizontal="center" vertical="center"/>
    </xf>
    <xf numFmtId="165" fontId="16" fillId="13" borderId="7" xfId="10" applyFont="1" applyFill="1" applyBorder="1">
      <alignment horizontal="center" vertical="center"/>
    </xf>
    <xf numFmtId="0" fontId="4" fillId="13" borderId="4" xfId="0" applyFont="1" applyFill="1" applyBorder="1" applyAlignment="1">
      <alignment vertical="center"/>
    </xf>
    <xf numFmtId="0" fontId="16" fillId="13" borderId="9" xfId="12" applyFont="1" applyFill="1" applyBorder="1">
      <alignment horizontal="left" vertical="center" indent="2"/>
    </xf>
    <xf numFmtId="0" fontId="16" fillId="13" borderId="9" xfId="11" applyFont="1" applyFill="1" applyBorder="1" applyAlignment="1">
      <alignment vertical="center"/>
    </xf>
    <xf numFmtId="9" fontId="1" fillId="13" borderId="9" xfId="2" applyFont="1" applyFill="1" applyBorder="1" applyAlignment="1">
      <alignment horizontal="center" vertical="center"/>
    </xf>
    <xf numFmtId="165" fontId="16" fillId="13" borderId="9" xfId="10" applyFont="1" applyFill="1" applyBorder="1">
      <alignment horizontal="center" vertical="center"/>
    </xf>
    <xf numFmtId="0" fontId="27" fillId="0" borderId="0" xfId="7" applyFont="1" applyAlignment="1">
      <alignment horizontal="left" vertical="center" indent="1"/>
    </xf>
    <xf numFmtId="0" fontId="28" fillId="0" borderId="0" xfId="7" applyFont="1" applyAlignment="1">
      <alignment horizontal="center" vertical="center"/>
    </xf>
    <xf numFmtId="0" fontId="28" fillId="0" borderId="0" xfId="7" applyFont="1" applyAlignment="1">
      <alignment horizontal="left" vertical="center"/>
    </xf>
    <xf numFmtId="0" fontId="20" fillId="14" borderId="0" xfId="0" applyFont="1" applyFill="1" applyAlignment="1">
      <alignment horizontal="left" vertical="center" indent="1"/>
    </xf>
    <xf numFmtId="0" fontId="16" fillId="14" borderId="0" xfId="11" applyFont="1" applyFill="1" applyBorder="1" applyAlignment="1">
      <alignment vertical="center"/>
    </xf>
    <xf numFmtId="9" fontId="1" fillId="14" borderId="0" xfId="2" applyFont="1" applyFill="1" applyBorder="1" applyAlignment="1">
      <alignment horizontal="center" vertical="center"/>
    </xf>
    <xf numFmtId="165" fontId="16" fillId="14" borderId="0" xfId="0" applyNumberFormat="1" applyFont="1" applyFill="1" applyAlignment="1">
      <alignment horizontal="center" vertical="center"/>
    </xf>
    <xf numFmtId="165" fontId="1" fillId="14" borderId="0" xfId="0" applyNumberFormat="1" applyFont="1" applyFill="1" applyAlignment="1">
      <alignment horizontal="center" vertical="center"/>
    </xf>
    <xf numFmtId="167" fontId="16" fillId="2" borderId="17" xfId="0" applyNumberFormat="1" applyFont="1" applyFill="1" applyBorder="1" applyAlignment="1">
      <alignment horizontal="center" vertical="center" wrapText="1"/>
    </xf>
    <xf numFmtId="167" fontId="16" fillId="2" borderId="13" xfId="0" applyNumberFormat="1" applyFont="1" applyFill="1" applyBorder="1" applyAlignment="1">
      <alignment horizontal="center" vertical="center" wrapText="1"/>
    </xf>
    <xf numFmtId="0" fontId="17" fillId="11" borderId="15" xfId="0" applyFont="1" applyFill="1" applyBorder="1" applyAlignment="1">
      <alignment horizontal="center" vertical="center"/>
    </xf>
    <xf numFmtId="0" fontId="4" fillId="2" borderId="20" xfId="0" applyFont="1" applyFill="1" applyBorder="1"/>
    <xf numFmtId="0" fontId="22" fillId="0" borderId="0" xfId="0" applyFont="1" applyAlignment="1">
      <alignment horizontal="left"/>
    </xf>
    <xf numFmtId="0" fontId="23" fillId="0" borderId="0" xfId="0" applyFont="1"/>
    <xf numFmtId="166" fontId="22" fillId="0" borderId="0" xfId="9" applyFont="1" applyBorder="1" applyAlignment="1">
      <alignment horizontal="left"/>
    </xf>
    <xf numFmtId="0" fontId="21" fillId="0" borderId="0" xfId="8" applyFont="1" applyAlignment="1">
      <alignment horizontal="left"/>
    </xf>
    <xf numFmtId="0" fontId="4" fillId="0" borderId="0" xfId="0" applyFont="1"/>
    <xf numFmtId="0" fontId="11" fillId="0" borderId="0" xfId="3" applyAlignment="1">
      <alignment wrapText="1"/>
    </xf>
    <xf numFmtId="0" fontId="17" fillId="11" borderId="15" xfId="0" applyFont="1" applyFill="1" applyBorder="1" applyAlignment="1">
      <alignment horizontal="left" vertical="center" indent="1"/>
    </xf>
    <xf numFmtId="0" fontId="4" fillId="2" borderId="20" xfId="0" applyFont="1" applyFill="1" applyBorder="1" applyAlignment="1">
      <alignment horizontal="left" indent="1"/>
    </xf>
    <xf numFmtId="0" fontId="17" fillId="11" borderId="15" xfId="0" applyFont="1" applyFill="1" applyBorder="1" applyAlignment="1">
      <alignment vertical="center"/>
    </xf>
    <xf numFmtId="0" fontId="4" fillId="0" borderId="4" xfId="0" applyFont="1" applyFill="1" applyBorder="1" applyAlignment="1">
      <alignment vertical="center"/>
    </xf>
  </cellXfs>
  <cellStyles count="13">
    <cellStyle name="Date" xfId="10" xr:uid="{229918B6-DD13-4F5A-97B9-305F7E002AA3}"/>
    <cellStyle name="Komma" xfId="4" builtinId="3" customBuiltin="1"/>
    <cellStyle name="Link" xfId="1" builtinId="8" customBuiltin="1"/>
    <cellStyle name="Name" xfId="11" xr:uid="{B2D3C1EE-6B41-4801-AAFC-C2274E49E503}"/>
    <cellStyle name="Project Start" xfId="9" xr:uid="{8EB8A09A-C31C-40A3-B2C1-9449520178B8}"/>
    <cellStyle name="Prozent" xfId="2" builtinId="5"/>
    <cellStyle name="Standard" xfId="0" builtinId="0"/>
    <cellStyle name="Task" xfId="12" xr:uid="{6391D789-272B-4DD2-9BF3-2CDCF610FA41}"/>
    <cellStyle name="Überschrift" xfId="5" builtinId="15" customBuiltin="1"/>
    <cellStyle name="Überschrift 1" xfId="6" builtinId="16" customBuiltin="1"/>
    <cellStyle name="Überschrift 2" xfId="7" builtinId="17" customBuiltin="1"/>
    <cellStyle name="Überschrift 3" xfId="8" builtinId="18" customBuiltin="1"/>
    <cellStyle name="zHiddenText" xfId="3" xr:uid="{26E66EE6-E33F-4D77-BAE4-0FB4F5BBF673}"/>
  </cellStyles>
  <dxfs count="28">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7"/>
      <tableStyleElement type="headerRow" dxfId="26"/>
      <tableStyleElement type="totalRow" dxfId="25"/>
      <tableStyleElement type="firstColumn" dxfId="24"/>
      <tableStyleElement type="lastColumn" dxfId="23"/>
      <tableStyleElement type="firstRowStripe" dxfId="22"/>
      <tableStyleElement type="secondRowStripe" dxfId="21"/>
      <tableStyleElement type="firstColumnStripe" dxfId="20"/>
      <tableStyleElement type="secondColumnStripe" dxfId="1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Benutzerdefiniert 1">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B35"/>
  <sheetViews>
    <sheetView showGridLines="0" tabSelected="1" showRuler="0" topLeftCell="A17" zoomScale="70" zoomScaleNormal="70" zoomScalePageLayoutView="70" workbookViewId="0">
      <selection activeCell="CZ32" sqref="CZ5:CZ32"/>
    </sheetView>
  </sheetViews>
  <sheetFormatPr baseColWidth="10" defaultColWidth="8.69921875" defaultRowHeight="30" customHeight="1" x14ac:dyDescent="0.25"/>
  <cols>
    <col min="1" max="1" width="2.69921875" style="10" customWidth="1"/>
    <col min="2" max="2" width="22.6992187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106" width="2.69921875" customWidth="1"/>
  </cols>
  <sheetData>
    <row r="1" spans="1:106" ht="60" customHeight="1" x14ac:dyDescent="1.05">
      <c r="A1" s="84"/>
      <c r="B1" s="85" t="s">
        <v>23</v>
      </c>
      <c r="C1" s="12"/>
      <c r="D1" s="13"/>
      <c r="E1" s="14"/>
      <c r="F1" s="15"/>
      <c r="H1" s="1"/>
      <c r="I1" s="110" t="s">
        <v>0</v>
      </c>
      <c r="J1" s="111"/>
      <c r="K1" s="111"/>
      <c r="L1" s="111"/>
      <c r="M1" s="111"/>
      <c r="N1" s="111"/>
      <c r="O1" s="111"/>
      <c r="P1" s="18"/>
      <c r="Q1" s="109">
        <v>45915</v>
      </c>
      <c r="R1" s="108"/>
      <c r="S1" s="108"/>
      <c r="T1" s="108"/>
      <c r="U1" s="108"/>
      <c r="V1" s="108"/>
      <c r="W1" s="108"/>
      <c r="X1" s="108"/>
      <c r="Y1" s="108"/>
      <c r="Z1" s="108"/>
    </row>
    <row r="2" spans="1:106" ht="30" customHeight="1" x14ac:dyDescent="0.6">
      <c r="B2" s="76" t="s">
        <v>47</v>
      </c>
      <c r="C2" s="76"/>
      <c r="D2" s="16"/>
      <c r="E2" s="17"/>
      <c r="F2" s="16"/>
      <c r="I2" s="110" t="s">
        <v>1</v>
      </c>
      <c r="J2" s="111"/>
      <c r="K2" s="111"/>
      <c r="L2" s="111"/>
      <c r="M2" s="111"/>
      <c r="N2" s="111"/>
      <c r="O2" s="111"/>
      <c r="P2" s="18"/>
      <c r="Q2" s="107">
        <v>1</v>
      </c>
      <c r="R2" s="108"/>
      <c r="S2" s="108"/>
      <c r="T2" s="108"/>
      <c r="U2" s="108"/>
      <c r="V2" s="108"/>
      <c r="W2" s="108"/>
      <c r="X2" s="108"/>
      <c r="Y2" s="108"/>
      <c r="Z2" s="108"/>
    </row>
    <row r="3" spans="1:106" s="19" customFormat="1" ht="30" customHeight="1" x14ac:dyDescent="0.25">
      <c r="A3" s="10"/>
      <c r="B3" s="76" t="s">
        <v>48</v>
      </c>
      <c r="C3" s="76"/>
      <c r="D3" s="20"/>
      <c r="E3" s="21"/>
    </row>
    <row r="4" spans="1:106" s="19" customFormat="1" ht="30" customHeight="1" x14ac:dyDescent="0.25">
      <c r="A4" s="84"/>
      <c r="B4" s="97" t="s">
        <v>24</v>
      </c>
      <c r="C4" s="95"/>
      <c r="D4" s="96" t="s">
        <v>25</v>
      </c>
      <c r="E4" s="21"/>
      <c r="I4" s="103" t="s">
        <v>49</v>
      </c>
      <c r="J4" s="104"/>
      <c r="K4" s="104"/>
      <c r="L4" s="104"/>
      <c r="M4" s="104"/>
      <c r="N4" s="104"/>
      <c r="O4" s="104"/>
      <c r="P4" s="103" t="s">
        <v>50</v>
      </c>
      <c r="Q4" s="104"/>
      <c r="R4" s="104"/>
      <c r="S4" s="104"/>
      <c r="T4" s="104"/>
      <c r="U4" s="104"/>
      <c r="V4" s="104"/>
      <c r="W4" s="103" t="s">
        <v>51</v>
      </c>
      <c r="X4" s="104"/>
      <c r="Y4" s="104"/>
      <c r="Z4" s="104"/>
      <c r="AA4" s="104"/>
      <c r="AB4" s="104"/>
      <c r="AC4" s="104"/>
      <c r="AD4" s="103" t="s">
        <v>52</v>
      </c>
      <c r="AE4" s="104"/>
      <c r="AF4" s="104"/>
      <c r="AG4" s="104"/>
      <c r="AH4" s="104"/>
      <c r="AI4" s="104"/>
      <c r="AJ4" s="104"/>
      <c r="AK4" s="103" t="s">
        <v>53</v>
      </c>
      <c r="AL4" s="104"/>
      <c r="AM4" s="104"/>
      <c r="AN4" s="104"/>
      <c r="AO4" s="104"/>
      <c r="AP4" s="104"/>
      <c r="AQ4" s="104"/>
      <c r="AR4" s="103" t="s">
        <v>54</v>
      </c>
      <c r="AS4" s="104"/>
      <c r="AT4" s="104"/>
      <c r="AU4" s="104"/>
      <c r="AV4" s="104"/>
      <c r="AW4" s="104"/>
      <c r="AX4" s="104"/>
      <c r="AY4" s="103" t="s">
        <v>55</v>
      </c>
      <c r="AZ4" s="104"/>
      <c r="BA4" s="104"/>
      <c r="BB4" s="104"/>
      <c r="BC4" s="104"/>
      <c r="BD4" s="104"/>
      <c r="BE4" s="104"/>
      <c r="BF4" s="103" t="s">
        <v>56</v>
      </c>
      <c r="BG4" s="104"/>
      <c r="BH4" s="104"/>
      <c r="BI4" s="104"/>
      <c r="BJ4" s="104"/>
      <c r="BK4" s="104"/>
      <c r="BL4" s="104"/>
      <c r="BM4" s="103" t="s">
        <v>57</v>
      </c>
      <c r="BN4" s="104"/>
      <c r="BO4" s="104"/>
      <c r="BP4" s="104"/>
      <c r="BQ4" s="104"/>
      <c r="BR4" s="104"/>
      <c r="BS4" s="104"/>
      <c r="BT4" s="103" t="s">
        <v>58</v>
      </c>
      <c r="BU4" s="104"/>
      <c r="BV4" s="104"/>
      <c r="BW4" s="104"/>
      <c r="BX4" s="104"/>
      <c r="BY4" s="104"/>
      <c r="BZ4" s="104"/>
      <c r="CA4" s="103" t="s">
        <v>59</v>
      </c>
      <c r="CB4" s="104"/>
      <c r="CC4" s="104"/>
      <c r="CD4" s="104"/>
      <c r="CE4" s="104"/>
      <c r="CF4" s="104"/>
      <c r="CG4" s="104"/>
      <c r="CH4" s="103" t="s">
        <v>60</v>
      </c>
      <c r="CI4" s="104"/>
      <c r="CJ4" s="104"/>
      <c r="CK4" s="104"/>
      <c r="CL4" s="104"/>
      <c r="CM4" s="104"/>
      <c r="CN4" s="104"/>
      <c r="CO4" s="103" t="s">
        <v>61</v>
      </c>
      <c r="CP4" s="104"/>
      <c r="CQ4" s="104"/>
      <c r="CR4" s="104"/>
      <c r="CS4" s="104"/>
      <c r="CT4" s="104"/>
      <c r="CU4" s="104"/>
      <c r="CV4" s="103" t="s">
        <v>62</v>
      </c>
      <c r="CW4" s="104"/>
      <c r="CX4" s="104"/>
      <c r="CY4" s="104"/>
      <c r="CZ4" s="104"/>
      <c r="DA4" s="104"/>
      <c r="DB4" s="104"/>
    </row>
    <row r="5" spans="1:106" s="19" customFormat="1" ht="15" customHeight="1" x14ac:dyDescent="0.25">
      <c r="A5" s="112"/>
      <c r="B5" s="113" t="s">
        <v>3</v>
      </c>
      <c r="C5" s="115" t="s">
        <v>4</v>
      </c>
      <c r="D5" s="105" t="s">
        <v>5</v>
      </c>
      <c r="E5" s="105" t="s">
        <v>6</v>
      </c>
      <c r="F5" s="105" t="s">
        <v>7</v>
      </c>
      <c r="I5" s="22">
        <f>Project_Start-WEEKDAY(Project_Start,1)+2+7*(Display_Week-1)</f>
        <v>45915</v>
      </c>
      <c r="J5" s="22">
        <f>I5+1</f>
        <v>45916</v>
      </c>
      <c r="K5" s="22">
        <f t="shared" ref="K5:AX5" si="0">J5+1</f>
        <v>45917</v>
      </c>
      <c r="L5" s="22">
        <f t="shared" si="0"/>
        <v>45918</v>
      </c>
      <c r="M5" s="22">
        <f t="shared" si="0"/>
        <v>45919</v>
      </c>
      <c r="N5" s="22">
        <f t="shared" si="0"/>
        <v>45920</v>
      </c>
      <c r="O5" s="23">
        <f t="shared" si="0"/>
        <v>45921</v>
      </c>
      <c r="P5" s="24">
        <f>O5+1</f>
        <v>45922</v>
      </c>
      <c r="Q5" s="22">
        <f>P5+1</f>
        <v>45923</v>
      </c>
      <c r="R5" s="22">
        <f t="shared" si="0"/>
        <v>45924</v>
      </c>
      <c r="S5" s="22">
        <f t="shared" si="0"/>
        <v>45925</v>
      </c>
      <c r="T5" s="22">
        <f t="shared" si="0"/>
        <v>45926</v>
      </c>
      <c r="U5" s="22">
        <f t="shared" si="0"/>
        <v>45927</v>
      </c>
      <c r="V5" s="23">
        <f t="shared" si="0"/>
        <v>45928</v>
      </c>
      <c r="W5" s="24">
        <f>V5+1</f>
        <v>45929</v>
      </c>
      <c r="X5" s="22">
        <f>W5+1</f>
        <v>45930</v>
      </c>
      <c r="Y5" s="22">
        <f t="shared" si="0"/>
        <v>45931</v>
      </c>
      <c r="Z5" s="22">
        <f t="shared" si="0"/>
        <v>45932</v>
      </c>
      <c r="AA5" s="22">
        <f t="shared" si="0"/>
        <v>45933</v>
      </c>
      <c r="AB5" s="22">
        <f t="shared" si="0"/>
        <v>45934</v>
      </c>
      <c r="AC5" s="23">
        <f t="shared" si="0"/>
        <v>45935</v>
      </c>
      <c r="AD5" s="24">
        <f>AC5+1</f>
        <v>45936</v>
      </c>
      <c r="AE5" s="22">
        <f>AD5+1</f>
        <v>45937</v>
      </c>
      <c r="AF5" s="22">
        <f t="shared" si="0"/>
        <v>45938</v>
      </c>
      <c r="AG5" s="22">
        <f t="shared" si="0"/>
        <v>45939</v>
      </c>
      <c r="AH5" s="22">
        <f t="shared" si="0"/>
        <v>45940</v>
      </c>
      <c r="AI5" s="22">
        <f t="shared" si="0"/>
        <v>45941</v>
      </c>
      <c r="AJ5" s="23">
        <f t="shared" si="0"/>
        <v>45942</v>
      </c>
      <c r="AK5" s="24">
        <f>AJ5+1</f>
        <v>45943</v>
      </c>
      <c r="AL5" s="22">
        <f>AK5+1</f>
        <v>45944</v>
      </c>
      <c r="AM5" s="22">
        <f t="shared" si="0"/>
        <v>45945</v>
      </c>
      <c r="AN5" s="22">
        <f t="shared" si="0"/>
        <v>45946</v>
      </c>
      <c r="AO5" s="22">
        <f t="shared" si="0"/>
        <v>45947</v>
      </c>
      <c r="AP5" s="22">
        <f t="shared" si="0"/>
        <v>45948</v>
      </c>
      <c r="AQ5" s="23">
        <f t="shared" si="0"/>
        <v>45949</v>
      </c>
      <c r="AR5" s="24">
        <f>AQ5+1</f>
        <v>45950</v>
      </c>
      <c r="AS5" s="22">
        <f>AR5+1</f>
        <v>45951</v>
      </c>
      <c r="AT5" s="22">
        <f t="shared" si="0"/>
        <v>45952</v>
      </c>
      <c r="AU5" s="22">
        <f t="shared" si="0"/>
        <v>45953</v>
      </c>
      <c r="AV5" s="22">
        <f t="shared" si="0"/>
        <v>45954</v>
      </c>
      <c r="AW5" s="22">
        <f t="shared" si="0"/>
        <v>45955</v>
      </c>
      <c r="AX5" s="23">
        <f t="shared" si="0"/>
        <v>45956</v>
      </c>
      <c r="AY5" s="24">
        <f>AX5+1</f>
        <v>45957</v>
      </c>
      <c r="AZ5" s="22">
        <f>AY5+1</f>
        <v>45958</v>
      </c>
      <c r="BA5" s="22">
        <f t="shared" ref="BA5:BE5" si="1">AZ5+1</f>
        <v>45959</v>
      </c>
      <c r="BB5" s="22">
        <f t="shared" si="1"/>
        <v>45960</v>
      </c>
      <c r="BC5" s="22">
        <f t="shared" si="1"/>
        <v>45961</v>
      </c>
      <c r="BD5" s="22">
        <f t="shared" si="1"/>
        <v>45962</v>
      </c>
      <c r="BE5" s="23">
        <f t="shared" si="1"/>
        <v>45963</v>
      </c>
      <c r="BF5" s="24">
        <f>BE5+1</f>
        <v>45964</v>
      </c>
      <c r="BG5" s="22">
        <f>BF5+1</f>
        <v>45965</v>
      </c>
      <c r="BH5" s="22">
        <f t="shared" ref="BH5:BL5" si="2">BG5+1</f>
        <v>45966</v>
      </c>
      <c r="BI5" s="22">
        <f t="shared" si="2"/>
        <v>45967</v>
      </c>
      <c r="BJ5" s="22">
        <f t="shared" si="2"/>
        <v>45968</v>
      </c>
      <c r="BK5" s="22">
        <f t="shared" si="2"/>
        <v>45969</v>
      </c>
      <c r="BL5" s="22">
        <f t="shared" si="2"/>
        <v>45970</v>
      </c>
      <c r="BM5" s="24">
        <f>BL5+1</f>
        <v>45971</v>
      </c>
      <c r="BN5" s="22">
        <f>BM5+1</f>
        <v>45972</v>
      </c>
      <c r="BO5" s="22">
        <f t="shared" ref="BO5" si="3">BN5+1</f>
        <v>45973</v>
      </c>
      <c r="BP5" s="22">
        <f t="shared" ref="BP5" si="4">BO5+1</f>
        <v>45974</v>
      </c>
      <c r="BQ5" s="22">
        <f t="shared" ref="BQ5" si="5">BP5+1</f>
        <v>45975</v>
      </c>
      <c r="BR5" s="22">
        <f t="shared" ref="BR5" si="6">BQ5+1</f>
        <v>45976</v>
      </c>
      <c r="BS5" s="22">
        <f t="shared" ref="BS5" si="7">BR5+1</f>
        <v>45977</v>
      </c>
      <c r="BT5" s="24">
        <f>BS5+1</f>
        <v>45978</v>
      </c>
      <c r="BU5" s="22">
        <f>BT5+1</f>
        <v>45979</v>
      </c>
      <c r="BV5" s="22">
        <f t="shared" ref="BV5" si="8">BU5+1</f>
        <v>45980</v>
      </c>
      <c r="BW5" s="22">
        <f t="shared" ref="BW5" si="9">BV5+1</f>
        <v>45981</v>
      </c>
      <c r="BX5" s="22">
        <f t="shared" ref="BX5" si="10">BW5+1</f>
        <v>45982</v>
      </c>
      <c r="BY5" s="22">
        <f t="shared" ref="BY5" si="11">BX5+1</f>
        <v>45983</v>
      </c>
      <c r="BZ5" s="22">
        <f t="shared" ref="BZ5" si="12">BY5+1</f>
        <v>45984</v>
      </c>
      <c r="CA5" s="24">
        <f>BZ5+1</f>
        <v>45985</v>
      </c>
      <c r="CB5" s="22">
        <f>CA5+1</f>
        <v>45986</v>
      </c>
      <c r="CC5" s="22">
        <f t="shared" ref="CC5" si="13">CB5+1</f>
        <v>45987</v>
      </c>
      <c r="CD5" s="22">
        <f t="shared" ref="CD5" si="14">CC5+1</f>
        <v>45988</v>
      </c>
      <c r="CE5" s="22">
        <f t="shared" ref="CE5" si="15">CD5+1</f>
        <v>45989</v>
      </c>
      <c r="CF5" s="22">
        <f t="shared" ref="CF5" si="16">CE5+1</f>
        <v>45990</v>
      </c>
      <c r="CG5" s="22">
        <f t="shared" ref="CG5" si="17">CF5+1</f>
        <v>45991</v>
      </c>
      <c r="CH5" s="24">
        <f>CG5+1</f>
        <v>45992</v>
      </c>
      <c r="CI5" s="22">
        <f>CH5+1</f>
        <v>45993</v>
      </c>
      <c r="CJ5" s="22">
        <f t="shared" ref="CJ5" si="18">CI5+1</f>
        <v>45994</v>
      </c>
      <c r="CK5" s="22">
        <f t="shared" ref="CK5" si="19">CJ5+1</f>
        <v>45995</v>
      </c>
      <c r="CL5" s="22">
        <f t="shared" ref="CL5" si="20">CK5+1</f>
        <v>45996</v>
      </c>
      <c r="CM5" s="22">
        <f t="shared" ref="CM5" si="21">CL5+1</f>
        <v>45997</v>
      </c>
      <c r="CN5" s="22">
        <f t="shared" ref="CN5" si="22">CM5+1</f>
        <v>45998</v>
      </c>
      <c r="CO5" s="24">
        <f>CN5+1</f>
        <v>45999</v>
      </c>
      <c r="CP5" s="22">
        <f>CO5+1</f>
        <v>46000</v>
      </c>
      <c r="CQ5" s="22">
        <f t="shared" ref="CQ5" si="23">CP5+1</f>
        <v>46001</v>
      </c>
      <c r="CR5" s="22">
        <f t="shared" ref="CR5" si="24">CQ5+1</f>
        <v>46002</v>
      </c>
      <c r="CS5" s="22">
        <f t="shared" ref="CS5" si="25">CR5+1</f>
        <v>46003</v>
      </c>
      <c r="CT5" s="22">
        <f t="shared" ref="CT5" si="26">CS5+1</f>
        <v>46004</v>
      </c>
      <c r="CU5" s="22">
        <f t="shared" ref="CU5" si="27">CT5+1</f>
        <v>46005</v>
      </c>
      <c r="CV5" s="24">
        <f>CU5+1</f>
        <v>46006</v>
      </c>
      <c r="CW5" s="22">
        <f>CV5+1</f>
        <v>46007</v>
      </c>
      <c r="CX5" s="22">
        <f t="shared" ref="CX5" si="28">CW5+1</f>
        <v>46008</v>
      </c>
      <c r="CY5" s="22">
        <f t="shared" ref="CY5" si="29">CX5+1</f>
        <v>46009</v>
      </c>
      <c r="CZ5" s="22">
        <f t="shared" ref="CZ5" si="30">CY5+1</f>
        <v>46010</v>
      </c>
      <c r="DA5" s="22">
        <f t="shared" ref="DA5" si="31">CZ5+1</f>
        <v>46011</v>
      </c>
      <c r="DB5" s="22">
        <f t="shared" ref="DB5" si="32">DA5+1</f>
        <v>46012</v>
      </c>
    </row>
    <row r="6" spans="1:106" s="19" customFormat="1" ht="15" customHeight="1" thickBot="1" x14ac:dyDescent="0.3">
      <c r="A6" s="112"/>
      <c r="B6" s="114"/>
      <c r="C6" s="106"/>
      <c r="D6" s="106"/>
      <c r="E6" s="106"/>
      <c r="F6" s="106"/>
      <c r="I6" s="25" t="s">
        <v>63</v>
      </c>
      <c r="J6" s="26" t="s">
        <v>64</v>
      </c>
      <c r="K6" s="26" t="s">
        <v>63</v>
      </c>
      <c r="L6" s="26" t="s">
        <v>64</v>
      </c>
      <c r="M6" s="26" t="s">
        <v>65</v>
      </c>
      <c r="N6" s="26" t="s">
        <v>66</v>
      </c>
      <c r="O6" s="26" t="s">
        <v>66</v>
      </c>
      <c r="P6" s="25" t="s">
        <v>63</v>
      </c>
      <c r="Q6" s="26" t="s">
        <v>64</v>
      </c>
      <c r="R6" s="26" t="s">
        <v>63</v>
      </c>
      <c r="S6" s="26" t="s">
        <v>64</v>
      </c>
      <c r="T6" s="26" t="s">
        <v>65</v>
      </c>
      <c r="U6" s="26" t="s">
        <v>66</v>
      </c>
      <c r="V6" s="26" t="s">
        <v>66</v>
      </c>
      <c r="W6" s="25" t="s">
        <v>63</v>
      </c>
      <c r="X6" s="26" t="s">
        <v>64</v>
      </c>
      <c r="Y6" s="26" t="s">
        <v>63</v>
      </c>
      <c r="Z6" s="26" t="s">
        <v>64</v>
      </c>
      <c r="AA6" s="26" t="s">
        <v>65</v>
      </c>
      <c r="AB6" s="26" t="s">
        <v>66</v>
      </c>
      <c r="AC6" s="26" t="s">
        <v>66</v>
      </c>
      <c r="AD6" s="25" t="s">
        <v>63</v>
      </c>
      <c r="AE6" s="26" t="s">
        <v>64</v>
      </c>
      <c r="AF6" s="26" t="s">
        <v>63</v>
      </c>
      <c r="AG6" s="26" t="s">
        <v>64</v>
      </c>
      <c r="AH6" s="26" t="s">
        <v>65</v>
      </c>
      <c r="AI6" s="26" t="s">
        <v>66</v>
      </c>
      <c r="AJ6" s="26" t="s">
        <v>66</v>
      </c>
      <c r="AK6" s="25" t="s">
        <v>63</v>
      </c>
      <c r="AL6" s="26" t="s">
        <v>64</v>
      </c>
      <c r="AM6" s="26" t="s">
        <v>63</v>
      </c>
      <c r="AN6" s="26" t="s">
        <v>64</v>
      </c>
      <c r="AO6" s="26" t="s">
        <v>65</v>
      </c>
      <c r="AP6" s="26" t="s">
        <v>66</v>
      </c>
      <c r="AQ6" s="26" t="s">
        <v>66</v>
      </c>
      <c r="AR6" s="25" t="s">
        <v>63</v>
      </c>
      <c r="AS6" s="26" t="s">
        <v>64</v>
      </c>
      <c r="AT6" s="26" t="s">
        <v>63</v>
      </c>
      <c r="AU6" s="26" t="s">
        <v>64</v>
      </c>
      <c r="AV6" s="26" t="s">
        <v>65</v>
      </c>
      <c r="AW6" s="26" t="s">
        <v>66</v>
      </c>
      <c r="AX6" s="26" t="s">
        <v>66</v>
      </c>
      <c r="AY6" s="25" t="s">
        <v>63</v>
      </c>
      <c r="AZ6" s="26" t="s">
        <v>64</v>
      </c>
      <c r="BA6" s="26" t="s">
        <v>63</v>
      </c>
      <c r="BB6" s="26" t="s">
        <v>64</v>
      </c>
      <c r="BC6" s="26" t="s">
        <v>65</v>
      </c>
      <c r="BD6" s="26" t="s">
        <v>66</v>
      </c>
      <c r="BE6" s="26" t="s">
        <v>66</v>
      </c>
      <c r="BF6" s="25" t="s">
        <v>63</v>
      </c>
      <c r="BG6" s="26" t="s">
        <v>64</v>
      </c>
      <c r="BH6" s="26" t="s">
        <v>63</v>
      </c>
      <c r="BI6" s="26" t="s">
        <v>64</v>
      </c>
      <c r="BJ6" s="26" t="s">
        <v>65</v>
      </c>
      <c r="BK6" s="26" t="s">
        <v>66</v>
      </c>
      <c r="BL6" s="26" t="s">
        <v>66</v>
      </c>
      <c r="BM6" s="25" t="s">
        <v>63</v>
      </c>
      <c r="BN6" s="26" t="s">
        <v>64</v>
      </c>
      <c r="BO6" s="26" t="s">
        <v>63</v>
      </c>
      <c r="BP6" s="26" t="s">
        <v>64</v>
      </c>
      <c r="BQ6" s="26" t="s">
        <v>65</v>
      </c>
      <c r="BR6" s="26" t="s">
        <v>66</v>
      </c>
      <c r="BS6" s="26" t="s">
        <v>66</v>
      </c>
      <c r="BT6" s="25" t="s">
        <v>63</v>
      </c>
      <c r="BU6" s="26" t="s">
        <v>64</v>
      </c>
      <c r="BV6" s="26" t="s">
        <v>63</v>
      </c>
      <c r="BW6" s="26" t="s">
        <v>64</v>
      </c>
      <c r="BX6" s="26" t="s">
        <v>65</v>
      </c>
      <c r="BY6" s="26" t="s">
        <v>66</v>
      </c>
      <c r="BZ6" s="26" t="s">
        <v>66</v>
      </c>
      <c r="CA6" s="25" t="s">
        <v>63</v>
      </c>
      <c r="CB6" s="26" t="s">
        <v>64</v>
      </c>
      <c r="CC6" s="26" t="s">
        <v>63</v>
      </c>
      <c r="CD6" s="26" t="s">
        <v>64</v>
      </c>
      <c r="CE6" s="26" t="s">
        <v>65</v>
      </c>
      <c r="CF6" s="26" t="s">
        <v>66</v>
      </c>
      <c r="CG6" s="26" t="s">
        <v>66</v>
      </c>
      <c r="CH6" s="25" t="s">
        <v>63</v>
      </c>
      <c r="CI6" s="26" t="s">
        <v>64</v>
      </c>
      <c r="CJ6" s="26" t="s">
        <v>63</v>
      </c>
      <c r="CK6" s="26" t="s">
        <v>64</v>
      </c>
      <c r="CL6" s="26" t="s">
        <v>65</v>
      </c>
      <c r="CM6" s="26" t="s">
        <v>66</v>
      </c>
      <c r="CN6" s="26" t="s">
        <v>66</v>
      </c>
      <c r="CO6" s="25" t="s">
        <v>63</v>
      </c>
      <c r="CP6" s="26" t="s">
        <v>64</v>
      </c>
      <c r="CQ6" s="26" t="s">
        <v>63</v>
      </c>
      <c r="CR6" s="26" t="s">
        <v>64</v>
      </c>
      <c r="CS6" s="26" t="s">
        <v>65</v>
      </c>
      <c r="CT6" s="26" t="s">
        <v>66</v>
      </c>
      <c r="CU6" s="26" t="s">
        <v>66</v>
      </c>
      <c r="CV6" s="25" t="s">
        <v>63</v>
      </c>
      <c r="CW6" s="26" t="s">
        <v>64</v>
      </c>
      <c r="CX6" s="26" t="s">
        <v>63</v>
      </c>
      <c r="CY6" s="26" t="s">
        <v>64</v>
      </c>
      <c r="CZ6" s="26" t="s">
        <v>65</v>
      </c>
      <c r="DA6" s="26" t="s">
        <v>66</v>
      </c>
      <c r="DB6" s="26" t="s">
        <v>66</v>
      </c>
    </row>
    <row r="7" spans="1:106" s="19" customFormat="1" ht="30" hidden="1" customHeight="1" thickBot="1" x14ac:dyDescent="0.3">
      <c r="A7" s="10" t="s">
        <v>8</v>
      </c>
      <c r="B7" s="27"/>
      <c r="C7" s="28"/>
      <c r="D7" s="27"/>
      <c r="E7" s="27"/>
      <c r="F7" s="27"/>
      <c r="H7" s="19" t="str">
        <f>IF(OR(ISBLANK(task_start),ISBLANK(task_end)),"",task_end-task_start+1)</f>
        <v/>
      </c>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row>
    <row r="8" spans="1:106" s="36" customFormat="1" ht="30" customHeight="1" thickBot="1" x14ac:dyDescent="0.3">
      <c r="A8" s="84"/>
      <c r="B8" s="30" t="s">
        <v>28</v>
      </c>
      <c r="C8" s="31"/>
      <c r="D8" s="32"/>
      <c r="E8" s="33"/>
      <c r="F8" s="34"/>
      <c r="G8" s="11"/>
      <c r="H8" s="3" t="str">
        <f t="shared" ref="H8:H32" si="33">IF(OR(ISBLANK(task_start),ISBLANK(task_end)),"",task_end-task_start+1)</f>
        <v/>
      </c>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row>
    <row r="9" spans="1:106" s="36" customFormat="1" ht="30" customHeight="1" thickBot="1" x14ac:dyDescent="0.3">
      <c r="A9" s="84"/>
      <c r="B9" s="37" t="s">
        <v>27</v>
      </c>
      <c r="C9" s="38" t="s">
        <v>25</v>
      </c>
      <c r="D9" s="39">
        <v>0.6</v>
      </c>
      <c r="E9" s="40">
        <f>Project_Start</f>
        <v>45915</v>
      </c>
      <c r="F9" s="40">
        <v>45946</v>
      </c>
      <c r="G9" s="11"/>
      <c r="H9" s="3">
        <f t="shared" si="33"/>
        <v>32</v>
      </c>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row>
    <row r="10" spans="1:106" s="36" customFormat="1" ht="30" customHeight="1" thickBot="1" x14ac:dyDescent="0.3">
      <c r="A10" s="84"/>
      <c r="B10" s="42" t="s">
        <v>26</v>
      </c>
      <c r="C10" s="43" t="s">
        <v>25</v>
      </c>
      <c r="D10" s="44">
        <v>0.6</v>
      </c>
      <c r="E10" s="45">
        <v>45915</v>
      </c>
      <c r="F10" s="45">
        <v>45946</v>
      </c>
      <c r="G10" s="11"/>
      <c r="H10" s="3">
        <f t="shared" si="33"/>
        <v>32</v>
      </c>
      <c r="I10" s="41"/>
      <c r="J10" s="41"/>
      <c r="K10" s="41"/>
      <c r="L10" s="41"/>
      <c r="M10" s="41"/>
      <c r="N10" s="41"/>
      <c r="O10" s="41"/>
      <c r="P10" s="41"/>
      <c r="Q10" s="41"/>
      <c r="R10" s="41"/>
      <c r="S10" s="41"/>
      <c r="T10" s="41"/>
      <c r="U10" s="46"/>
      <c r="V10" s="46"/>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row>
    <row r="11" spans="1:106" s="36" customFormat="1" ht="30" customHeight="1" thickBot="1" x14ac:dyDescent="0.3">
      <c r="A11" s="84"/>
      <c r="B11" s="86" t="s">
        <v>46</v>
      </c>
      <c r="C11" s="87" t="s">
        <v>25</v>
      </c>
      <c r="D11" s="88"/>
      <c r="E11" s="89">
        <v>45947</v>
      </c>
      <c r="F11" s="89"/>
      <c r="G11" s="11"/>
      <c r="H11" s="3"/>
      <c r="I11" s="41"/>
      <c r="J11" s="41"/>
      <c r="K11" s="41"/>
      <c r="L11" s="41"/>
      <c r="M11" s="41"/>
      <c r="N11" s="41"/>
      <c r="O11" s="41"/>
      <c r="P11" s="41"/>
      <c r="Q11" s="41"/>
      <c r="R11" s="41"/>
      <c r="S11" s="41"/>
      <c r="T11" s="41"/>
      <c r="U11" s="46"/>
      <c r="V11" s="46"/>
      <c r="W11" s="41"/>
      <c r="X11" s="41"/>
      <c r="Y11" s="41"/>
      <c r="Z11" s="41"/>
      <c r="AA11" s="41"/>
      <c r="AB11" s="41"/>
      <c r="AC11" s="41"/>
      <c r="AD11" s="41"/>
      <c r="AE11" s="41"/>
      <c r="AF11" s="41"/>
      <c r="AG11" s="41"/>
      <c r="AH11" s="41"/>
      <c r="AI11" s="41"/>
      <c r="AJ11" s="41"/>
      <c r="AK11" s="41"/>
      <c r="AL11" s="41"/>
      <c r="AM11" s="41"/>
      <c r="AN11" s="41"/>
      <c r="AO11" s="90"/>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row>
    <row r="12" spans="1:106" s="36" customFormat="1" ht="30" customHeight="1" thickBot="1" x14ac:dyDescent="0.3">
      <c r="A12" s="84"/>
      <c r="B12" s="47" t="s">
        <v>9</v>
      </c>
      <c r="C12" s="48"/>
      <c r="D12" s="49"/>
      <c r="E12" s="50"/>
      <c r="F12" s="51"/>
      <c r="G12" s="11"/>
      <c r="H12" s="3" t="str">
        <f t="shared" si="33"/>
        <v/>
      </c>
    </row>
    <row r="13" spans="1:106" s="36" customFormat="1" ht="30" customHeight="1" thickBot="1" x14ac:dyDescent="0.3">
      <c r="A13" s="84"/>
      <c r="B13" s="52" t="s">
        <v>29</v>
      </c>
      <c r="C13" s="53" t="s">
        <v>25</v>
      </c>
      <c r="D13" s="54">
        <v>0.2</v>
      </c>
      <c r="E13" s="55">
        <v>45948</v>
      </c>
      <c r="F13" s="55">
        <f>E13+4</f>
        <v>45952</v>
      </c>
      <c r="G13" s="11"/>
      <c r="H13" s="3">
        <f t="shared" si="33"/>
        <v>5</v>
      </c>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c r="CD13" s="41"/>
      <c r="CE13" s="41"/>
      <c r="CF13" s="41"/>
      <c r="CG13" s="41"/>
      <c r="CH13" s="41"/>
      <c r="CI13" s="41"/>
      <c r="CJ13" s="41"/>
      <c r="CK13" s="41"/>
      <c r="CL13" s="41"/>
      <c r="CM13" s="41"/>
      <c r="CN13" s="41"/>
      <c r="CO13" s="41"/>
      <c r="CP13" s="41"/>
      <c r="CQ13" s="41"/>
      <c r="CR13" s="41"/>
      <c r="CS13" s="41"/>
      <c r="CT13" s="41"/>
      <c r="CU13" s="41"/>
      <c r="CV13" s="41"/>
      <c r="CW13" s="41"/>
      <c r="CX13" s="41"/>
      <c r="CY13" s="41"/>
      <c r="CZ13" s="41"/>
      <c r="DA13" s="41"/>
      <c r="DB13" s="41"/>
    </row>
    <row r="14" spans="1:106" s="36" customFormat="1" ht="30" customHeight="1" thickBot="1" x14ac:dyDescent="0.3">
      <c r="A14" s="10"/>
      <c r="B14" s="52" t="s">
        <v>30</v>
      </c>
      <c r="C14" s="53" t="s">
        <v>25</v>
      </c>
      <c r="D14" s="54">
        <v>0.2</v>
      </c>
      <c r="E14" s="55">
        <v>45948</v>
      </c>
      <c r="F14" s="55">
        <f>E14+5</f>
        <v>45953</v>
      </c>
      <c r="G14" s="11"/>
      <c r="H14" s="3">
        <f t="shared" si="33"/>
        <v>6</v>
      </c>
      <c r="I14" s="41"/>
      <c r="J14" s="41"/>
      <c r="K14" s="41"/>
      <c r="L14" s="41"/>
      <c r="M14" s="41"/>
      <c r="N14" s="41"/>
      <c r="O14" s="41"/>
      <c r="P14" s="41"/>
      <c r="Q14" s="41"/>
      <c r="R14" s="41"/>
      <c r="S14" s="41"/>
      <c r="T14" s="41"/>
      <c r="U14" s="46"/>
      <c r="V14" s="46"/>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row>
    <row r="15" spans="1:106" s="36" customFormat="1" ht="30" customHeight="1" thickBot="1" x14ac:dyDescent="0.3">
      <c r="A15" s="10"/>
      <c r="B15" s="52" t="s">
        <v>32</v>
      </c>
      <c r="C15" s="53" t="s">
        <v>25</v>
      </c>
      <c r="D15" s="54"/>
      <c r="E15" s="55">
        <v>45951</v>
      </c>
      <c r="F15" s="55">
        <v>45963</v>
      </c>
      <c r="G15" s="11"/>
      <c r="H15" s="3">
        <f t="shared" si="33"/>
        <v>13</v>
      </c>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row>
    <row r="16" spans="1:106" s="36" customFormat="1" ht="30" customHeight="1" thickBot="1" x14ac:dyDescent="0.3">
      <c r="A16" s="10"/>
      <c r="B16" s="52" t="s">
        <v>33</v>
      </c>
      <c r="C16" s="53" t="s">
        <v>25</v>
      </c>
      <c r="D16" s="54"/>
      <c r="E16" s="55">
        <v>45960</v>
      </c>
      <c r="F16" s="55">
        <f>E17-1</f>
        <v>45969</v>
      </c>
      <c r="G16" s="11"/>
      <c r="H16" s="3">
        <f t="shared" si="33"/>
        <v>10</v>
      </c>
      <c r="I16" s="41"/>
      <c r="J16" s="41"/>
      <c r="K16" s="41"/>
      <c r="L16" s="41"/>
      <c r="M16" s="41"/>
      <c r="N16" s="41"/>
      <c r="O16" s="41"/>
      <c r="P16" s="41"/>
      <c r="Q16" s="41"/>
      <c r="R16" s="41"/>
      <c r="S16" s="41"/>
      <c r="T16" s="41"/>
      <c r="U16" s="41"/>
      <c r="V16" s="41"/>
      <c r="W16" s="41"/>
      <c r="X16" s="41"/>
      <c r="Y16" s="46"/>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row>
    <row r="17" spans="1:106" s="36" customFormat="1" ht="30" customHeight="1" thickBot="1" x14ac:dyDescent="0.3">
      <c r="A17" s="10"/>
      <c r="B17" s="52" t="s">
        <v>34</v>
      </c>
      <c r="C17" s="53" t="s">
        <v>25</v>
      </c>
      <c r="D17" s="54"/>
      <c r="E17" s="55">
        <v>45970</v>
      </c>
      <c r="F17" s="55">
        <f>E17</f>
        <v>45970</v>
      </c>
      <c r="G17" s="11"/>
      <c r="H17" s="3">
        <f t="shared" si="33"/>
        <v>1</v>
      </c>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90"/>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row>
    <row r="18" spans="1:106" s="36" customFormat="1" ht="30" customHeight="1" thickBot="1" x14ac:dyDescent="0.3">
      <c r="A18" s="10"/>
      <c r="B18" s="56" t="s">
        <v>31</v>
      </c>
      <c r="C18" s="57"/>
      <c r="D18" s="58"/>
      <c r="E18" s="59"/>
      <c r="F18" s="60"/>
      <c r="G18" s="11"/>
      <c r="H18" s="3" t="str">
        <f t="shared" si="33"/>
        <v/>
      </c>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61"/>
      <c r="DA18" s="61"/>
      <c r="DB18" s="61"/>
    </row>
    <row r="19" spans="1:106" s="36" customFormat="1" ht="30" customHeight="1" thickBot="1" x14ac:dyDescent="0.3">
      <c r="A19" s="10"/>
      <c r="B19" s="62" t="s">
        <v>35</v>
      </c>
      <c r="C19" s="63" t="s">
        <v>25</v>
      </c>
      <c r="D19" s="64">
        <v>0.1</v>
      </c>
      <c r="E19" s="65">
        <v>45971</v>
      </c>
      <c r="F19" s="65">
        <f>E19+8</f>
        <v>45979</v>
      </c>
      <c r="G19" s="11"/>
      <c r="H19" s="3">
        <f t="shared" si="33"/>
        <v>9</v>
      </c>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c r="CD19" s="41"/>
      <c r="CE19" s="41"/>
      <c r="CF19" s="41"/>
      <c r="CG19" s="41"/>
      <c r="CH19" s="41"/>
      <c r="CI19" s="41"/>
      <c r="CJ19" s="41"/>
      <c r="CK19" s="41"/>
      <c r="CL19" s="41"/>
      <c r="CM19" s="41"/>
      <c r="CN19" s="41"/>
      <c r="CO19" s="41"/>
      <c r="CP19" s="41"/>
      <c r="CQ19" s="41"/>
      <c r="CR19" s="41"/>
      <c r="CS19" s="41"/>
      <c r="CT19" s="41"/>
      <c r="CU19" s="41"/>
      <c r="CV19" s="41"/>
      <c r="CW19" s="41"/>
      <c r="CX19" s="41"/>
      <c r="CY19" s="41"/>
      <c r="CZ19" s="41"/>
      <c r="DA19" s="41"/>
      <c r="DB19" s="41"/>
    </row>
    <row r="20" spans="1:106" s="36" customFormat="1" ht="30" customHeight="1" thickBot="1" x14ac:dyDescent="0.3">
      <c r="A20" s="10"/>
      <c r="B20" s="62" t="s">
        <v>36</v>
      </c>
      <c r="C20" s="63" t="s">
        <v>25</v>
      </c>
      <c r="D20" s="64"/>
      <c r="E20" s="65">
        <f>F19-6</f>
        <v>45973</v>
      </c>
      <c r="F20" s="65">
        <f>E20+11</f>
        <v>45984</v>
      </c>
      <c r="G20" s="11"/>
      <c r="H20" s="3">
        <f t="shared" si="33"/>
        <v>12</v>
      </c>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41"/>
      <c r="CF20" s="41"/>
      <c r="CG20" s="41"/>
      <c r="CH20" s="41"/>
      <c r="CI20" s="41"/>
      <c r="CJ20" s="41"/>
      <c r="CK20" s="41"/>
      <c r="CL20" s="41"/>
      <c r="CM20" s="41"/>
      <c r="CN20" s="41"/>
      <c r="CO20" s="41"/>
      <c r="CP20" s="41"/>
      <c r="CQ20" s="41"/>
      <c r="CR20" s="41"/>
      <c r="CS20" s="41"/>
      <c r="CT20" s="41"/>
      <c r="CU20" s="41"/>
      <c r="CV20" s="41"/>
      <c r="CW20" s="41"/>
      <c r="CX20" s="41"/>
      <c r="CY20" s="41"/>
      <c r="CZ20" s="41"/>
      <c r="DA20" s="41"/>
      <c r="DB20" s="41"/>
    </row>
    <row r="21" spans="1:106" s="36" customFormat="1" ht="30" customHeight="1" thickBot="1" x14ac:dyDescent="0.3">
      <c r="A21" s="10"/>
      <c r="B21" s="62" t="s">
        <v>38</v>
      </c>
      <c r="C21" s="63" t="s">
        <v>25</v>
      </c>
      <c r="D21" s="64"/>
      <c r="E21" s="65">
        <f>F20-3</f>
        <v>45981</v>
      </c>
      <c r="F21" s="65">
        <f>E21+9</f>
        <v>45990</v>
      </c>
      <c r="G21" s="11"/>
      <c r="H21" s="3">
        <f t="shared" si="33"/>
        <v>10</v>
      </c>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row>
    <row r="22" spans="1:106" s="36" customFormat="1" ht="30" customHeight="1" thickBot="1" x14ac:dyDescent="0.3">
      <c r="A22" s="10"/>
      <c r="B22" s="62" t="s">
        <v>37</v>
      </c>
      <c r="C22" s="63" t="s">
        <v>25</v>
      </c>
      <c r="D22" s="64"/>
      <c r="E22" s="65">
        <f>F21-5</f>
        <v>45985</v>
      </c>
      <c r="F22" s="65">
        <f>E22+7</f>
        <v>45992</v>
      </c>
      <c r="G22" s="11"/>
      <c r="H22" s="3">
        <f t="shared" si="33"/>
        <v>8</v>
      </c>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41"/>
      <c r="BV22" s="41"/>
      <c r="BW22" s="41"/>
      <c r="BX22" s="41"/>
      <c r="BY22" s="41"/>
      <c r="BZ22" s="41"/>
      <c r="CA22" s="41"/>
      <c r="CB22" s="41"/>
      <c r="CC22" s="41"/>
      <c r="CD22" s="41"/>
      <c r="CE22" s="41"/>
      <c r="CF22" s="41"/>
      <c r="CG22" s="41"/>
      <c r="CH22" s="41"/>
      <c r="CI22" s="41"/>
      <c r="CJ22" s="41"/>
      <c r="CK22" s="41"/>
      <c r="CL22" s="41"/>
      <c r="CM22" s="41"/>
      <c r="CN22" s="41"/>
      <c r="CO22" s="41"/>
      <c r="CP22" s="41"/>
      <c r="CQ22" s="41"/>
      <c r="CR22" s="41"/>
      <c r="CS22" s="41"/>
      <c r="CT22" s="41"/>
      <c r="CU22" s="41"/>
      <c r="CV22" s="41"/>
      <c r="CW22" s="41"/>
      <c r="CX22" s="41"/>
      <c r="CY22" s="41"/>
      <c r="CZ22" s="41"/>
      <c r="DA22" s="41"/>
      <c r="DB22" s="41"/>
    </row>
    <row r="23" spans="1:106" s="36" customFormat="1" ht="30" customHeight="1" thickBot="1" x14ac:dyDescent="0.3">
      <c r="A23" s="10"/>
      <c r="B23" s="62" t="s">
        <v>39</v>
      </c>
      <c r="C23" s="63" t="s">
        <v>25</v>
      </c>
      <c r="D23" s="64"/>
      <c r="E23" s="65">
        <v>45993</v>
      </c>
      <c r="F23" s="65">
        <f>E23</f>
        <v>45993</v>
      </c>
      <c r="G23" s="11"/>
      <c r="H23" s="3">
        <f t="shared" si="33"/>
        <v>1</v>
      </c>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c r="BX23" s="41"/>
      <c r="BY23" s="41"/>
      <c r="BZ23" s="41"/>
      <c r="CA23" s="41"/>
      <c r="CB23" s="41"/>
      <c r="CC23" s="41"/>
      <c r="CD23" s="41"/>
      <c r="CE23" s="41"/>
      <c r="CF23" s="41"/>
      <c r="CG23" s="41"/>
      <c r="CH23" s="41"/>
      <c r="CI23" s="90"/>
      <c r="CJ23" s="41"/>
      <c r="CK23" s="41"/>
      <c r="CL23" s="41"/>
      <c r="CM23" s="41"/>
      <c r="CN23" s="41"/>
      <c r="CO23" s="41"/>
      <c r="CP23" s="41"/>
      <c r="CQ23" s="41"/>
      <c r="CR23" s="41"/>
      <c r="CS23" s="41"/>
      <c r="CT23" s="41"/>
      <c r="CU23" s="41"/>
      <c r="CV23" s="41"/>
      <c r="CW23" s="41"/>
      <c r="CX23" s="41"/>
      <c r="CY23" s="41"/>
      <c r="CZ23" s="41"/>
      <c r="DA23" s="41"/>
      <c r="DB23" s="41"/>
    </row>
    <row r="24" spans="1:106" s="36" customFormat="1" ht="30" customHeight="1" thickBot="1" x14ac:dyDescent="0.3">
      <c r="A24" s="10"/>
      <c r="B24" s="66" t="s">
        <v>42</v>
      </c>
      <c r="C24" s="67"/>
      <c r="D24" s="68"/>
      <c r="E24" s="69"/>
      <c r="F24" s="70"/>
      <c r="G24" s="11"/>
      <c r="H24" s="3" t="str">
        <f t="shared" si="33"/>
        <v/>
      </c>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71"/>
      <c r="BG24" s="71"/>
      <c r="BH24" s="71"/>
      <c r="BI24" s="71"/>
      <c r="BJ24" s="71"/>
      <c r="BK24" s="71"/>
      <c r="BL24" s="71"/>
      <c r="BM24" s="71"/>
      <c r="BN24" s="71"/>
      <c r="BO24" s="71"/>
      <c r="BP24" s="71"/>
      <c r="BQ24" s="71"/>
      <c r="BR24" s="71"/>
      <c r="BS24" s="71"/>
      <c r="BT24" s="71"/>
      <c r="BU24" s="71"/>
      <c r="BV24" s="71"/>
      <c r="BW24" s="71"/>
      <c r="BX24" s="71"/>
      <c r="BY24" s="71"/>
      <c r="BZ24" s="71"/>
      <c r="CA24" s="71"/>
      <c r="CB24" s="71"/>
      <c r="CC24" s="71"/>
      <c r="CD24" s="71"/>
      <c r="CE24" s="71"/>
      <c r="CF24" s="71"/>
      <c r="CG24" s="71"/>
      <c r="CH24" s="71"/>
      <c r="CI24" s="71"/>
      <c r="CJ24" s="71"/>
      <c r="CK24" s="71"/>
      <c r="CL24" s="71"/>
      <c r="CM24" s="71"/>
      <c r="CN24" s="71"/>
      <c r="CO24" s="71"/>
      <c r="CP24" s="71"/>
      <c r="CQ24" s="71"/>
      <c r="CR24" s="71"/>
      <c r="CS24" s="71"/>
      <c r="CT24" s="71"/>
      <c r="CU24" s="71"/>
      <c r="CV24" s="71"/>
      <c r="CW24" s="71"/>
      <c r="CX24" s="71"/>
      <c r="CY24" s="71"/>
      <c r="CZ24" s="71"/>
      <c r="DA24" s="71"/>
      <c r="DB24" s="71"/>
    </row>
    <row r="25" spans="1:106" s="36" customFormat="1" ht="30" customHeight="1" thickBot="1" x14ac:dyDescent="0.3">
      <c r="A25" s="10"/>
      <c r="B25" s="72" t="s">
        <v>40</v>
      </c>
      <c r="C25" s="73" t="s">
        <v>25</v>
      </c>
      <c r="D25" s="74"/>
      <c r="E25" s="75">
        <v>45956</v>
      </c>
      <c r="F25" s="75">
        <f>E26-1</f>
        <v>45994</v>
      </c>
      <c r="G25" s="11"/>
      <c r="H25" s="3">
        <f t="shared" si="33"/>
        <v>39</v>
      </c>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c r="BZ25" s="41"/>
      <c r="CA25" s="41"/>
      <c r="CB25" s="41"/>
      <c r="CC25" s="41"/>
      <c r="CD25" s="41"/>
      <c r="CE25" s="41"/>
      <c r="CF25" s="41"/>
      <c r="CG25" s="41"/>
      <c r="CH25" s="41"/>
      <c r="CI25" s="41"/>
      <c r="CJ25" s="41"/>
      <c r="CK25" s="41"/>
      <c r="CL25" s="41"/>
      <c r="CM25" s="41"/>
      <c r="CN25" s="41"/>
      <c r="CO25" s="41"/>
      <c r="CP25" s="41"/>
      <c r="CQ25" s="41"/>
      <c r="CR25" s="41"/>
      <c r="CS25" s="41"/>
      <c r="CT25" s="41"/>
      <c r="CU25" s="41"/>
      <c r="CV25" s="41"/>
      <c r="CW25" s="41"/>
      <c r="CX25" s="41"/>
      <c r="CY25" s="41"/>
      <c r="CZ25" s="41"/>
      <c r="DA25" s="41"/>
      <c r="DB25" s="41"/>
    </row>
    <row r="26" spans="1:106" s="36" customFormat="1" ht="30" customHeight="1" thickBot="1" x14ac:dyDescent="0.3">
      <c r="A26" s="10"/>
      <c r="B26" s="72" t="s">
        <v>41</v>
      </c>
      <c r="C26" s="73" t="s">
        <v>25</v>
      </c>
      <c r="D26" s="74"/>
      <c r="E26" s="75">
        <f>F26-6</f>
        <v>45995</v>
      </c>
      <c r="F26" s="75">
        <f>E27-1</f>
        <v>46001</v>
      </c>
      <c r="G26" s="11"/>
      <c r="H26" s="3">
        <f t="shared" si="33"/>
        <v>7</v>
      </c>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c r="CD26" s="41"/>
      <c r="CE26" s="41"/>
      <c r="CF26" s="41"/>
      <c r="CG26" s="41"/>
      <c r="CH26" s="41"/>
      <c r="CI26" s="41"/>
      <c r="CJ26" s="41"/>
      <c r="CK26" s="41"/>
      <c r="CL26" s="41"/>
      <c r="CM26" s="41"/>
      <c r="CN26" s="41"/>
      <c r="CO26" s="41"/>
      <c r="CP26" s="41"/>
      <c r="CQ26" s="41"/>
      <c r="CR26" s="41"/>
      <c r="CS26" s="41"/>
      <c r="CT26" s="41"/>
      <c r="CU26" s="41"/>
      <c r="CV26" s="41"/>
      <c r="CW26" s="41"/>
      <c r="CX26" s="41"/>
      <c r="CY26" s="41"/>
      <c r="CZ26" s="41"/>
      <c r="DA26" s="41"/>
      <c r="DB26" s="41"/>
    </row>
    <row r="27" spans="1:106" s="36" customFormat="1" ht="30" customHeight="1" thickBot="1" x14ac:dyDescent="0.3">
      <c r="A27" s="10"/>
      <c r="B27" s="91" t="s">
        <v>43</v>
      </c>
      <c r="C27" s="92" t="s">
        <v>25</v>
      </c>
      <c r="D27" s="93"/>
      <c r="E27" s="94">
        <v>46002</v>
      </c>
      <c r="F27" s="94"/>
      <c r="G27" s="11"/>
      <c r="H27" s="3" t="str">
        <f t="shared" si="33"/>
        <v/>
      </c>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90"/>
      <c r="CS27" s="41"/>
      <c r="CT27" s="41"/>
      <c r="CU27" s="41"/>
      <c r="CV27" s="41"/>
      <c r="CW27" s="41"/>
      <c r="CX27" s="41"/>
      <c r="CY27" s="41"/>
      <c r="CZ27" s="41"/>
      <c r="DA27" s="41"/>
      <c r="DB27" s="41"/>
    </row>
    <row r="28" spans="1:106" s="36" customFormat="1" ht="30" customHeight="1" thickBot="1" x14ac:dyDescent="0.3">
      <c r="A28" s="10"/>
      <c r="B28" s="72" t="s">
        <v>44</v>
      </c>
      <c r="C28" s="73" t="s">
        <v>25</v>
      </c>
      <c r="D28" s="74"/>
      <c r="E28" s="75">
        <f>F28-9</f>
        <v>46000</v>
      </c>
      <c r="F28" s="75">
        <f>E29-1</f>
        <v>46009</v>
      </c>
      <c r="G28" s="11"/>
      <c r="H28" s="3">
        <f t="shared" si="33"/>
        <v>10</v>
      </c>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41"/>
      <c r="CH28" s="41"/>
      <c r="CI28" s="41"/>
      <c r="CJ28" s="41"/>
      <c r="CK28" s="41"/>
      <c r="CL28" s="41"/>
      <c r="CM28" s="41"/>
      <c r="CN28" s="41"/>
      <c r="CO28" s="41"/>
      <c r="CP28" s="41"/>
      <c r="CQ28" s="41"/>
      <c r="CR28" s="41"/>
      <c r="CS28" s="41"/>
      <c r="CT28" s="41"/>
      <c r="CU28" s="41"/>
      <c r="CV28" s="41"/>
      <c r="CW28" s="41"/>
      <c r="CX28" s="41"/>
      <c r="CY28" s="41"/>
      <c r="CZ28" s="41"/>
      <c r="DA28" s="41"/>
      <c r="DB28" s="41"/>
    </row>
    <row r="29" spans="1:106" s="36" customFormat="1" ht="30" customHeight="1" thickBot="1" x14ac:dyDescent="0.3">
      <c r="A29" s="10"/>
      <c r="B29" s="91" t="s">
        <v>45</v>
      </c>
      <c r="C29" s="92" t="s">
        <v>25</v>
      </c>
      <c r="D29" s="93"/>
      <c r="E29" s="94">
        <v>46010</v>
      </c>
      <c r="F29" s="94"/>
      <c r="G29" s="11"/>
      <c r="H29" s="3" t="str">
        <f t="shared" si="33"/>
        <v/>
      </c>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c r="CT29" s="41"/>
      <c r="CU29" s="41"/>
      <c r="CV29" s="41"/>
      <c r="CW29" s="41"/>
      <c r="CX29" s="41"/>
      <c r="CY29" s="41"/>
      <c r="CZ29" s="90"/>
      <c r="DA29" s="41"/>
      <c r="DB29" s="41"/>
    </row>
    <row r="30" spans="1:106" s="36" customFormat="1" ht="30" customHeight="1" thickBot="1" x14ac:dyDescent="0.3">
      <c r="A30" s="10"/>
      <c r="B30" s="98" t="s">
        <v>67</v>
      </c>
      <c r="C30" s="99"/>
      <c r="D30" s="100"/>
      <c r="E30" s="101"/>
      <c r="F30" s="102"/>
      <c r="G30" s="11"/>
      <c r="H30" s="3" t="str">
        <f t="shared" si="33"/>
        <v/>
      </c>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71"/>
      <c r="BG30" s="71"/>
      <c r="BH30" s="71"/>
      <c r="BI30" s="71"/>
      <c r="BJ30" s="71"/>
      <c r="BK30" s="71"/>
      <c r="BL30" s="71"/>
      <c r="BM30" s="71"/>
      <c r="BN30" s="71"/>
      <c r="BO30" s="71"/>
      <c r="BP30" s="71"/>
      <c r="BQ30" s="71"/>
      <c r="BR30" s="71"/>
      <c r="BS30" s="71"/>
      <c r="BT30" s="71"/>
      <c r="BU30" s="71"/>
      <c r="BV30" s="71"/>
      <c r="BW30" s="71"/>
      <c r="BX30" s="71"/>
      <c r="BY30" s="71"/>
      <c r="BZ30" s="71"/>
      <c r="CA30" s="71"/>
      <c r="CB30" s="71"/>
      <c r="CC30" s="71"/>
      <c r="CD30" s="71"/>
      <c r="CE30" s="71"/>
      <c r="CF30" s="71"/>
      <c r="CG30" s="71"/>
      <c r="CH30" s="71"/>
      <c r="CI30" s="71"/>
      <c r="CJ30" s="71"/>
      <c r="CK30" s="71"/>
      <c r="CL30" s="71"/>
      <c r="CM30" s="71"/>
      <c r="CN30" s="71"/>
      <c r="CO30" s="71"/>
      <c r="CP30" s="71"/>
      <c r="CQ30" s="71"/>
      <c r="CR30" s="71"/>
      <c r="CS30" s="71"/>
      <c r="CT30" s="71"/>
      <c r="CU30" s="71"/>
      <c r="CV30" s="71"/>
      <c r="CW30" s="71"/>
      <c r="CX30" s="71"/>
      <c r="CY30" s="71"/>
      <c r="CZ30" s="71"/>
      <c r="DA30" s="71"/>
      <c r="DB30" s="71"/>
    </row>
    <row r="31" spans="1:106" s="36" customFormat="1" ht="30" customHeight="1" thickBot="1" x14ac:dyDescent="0.3">
      <c r="A31" s="10"/>
      <c r="B31" s="91" t="s">
        <v>68</v>
      </c>
      <c r="C31" s="92" t="s">
        <v>25</v>
      </c>
      <c r="D31" s="93"/>
      <c r="E31" s="94">
        <v>45974</v>
      </c>
      <c r="F31" s="94"/>
      <c r="G31" s="11"/>
      <c r="H31" s="3" t="str">
        <f t="shared" si="33"/>
        <v/>
      </c>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90"/>
      <c r="BQ31" s="41"/>
      <c r="BR31" s="41"/>
      <c r="BS31" s="41"/>
      <c r="BT31" s="41"/>
      <c r="BU31" s="41"/>
      <c r="BV31" s="41"/>
      <c r="BW31" s="41"/>
      <c r="BX31" s="41"/>
      <c r="BY31" s="41"/>
      <c r="BZ31" s="41"/>
      <c r="CA31" s="41"/>
      <c r="CB31" s="41"/>
      <c r="CC31" s="41"/>
      <c r="CD31" s="41"/>
      <c r="CE31" s="41"/>
      <c r="CF31" s="41"/>
      <c r="CG31" s="41"/>
      <c r="CH31" s="41"/>
      <c r="CI31" s="41"/>
      <c r="CJ31" s="116"/>
      <c r="CK31" s="41"/>
      <c r="CL31" s="41"/>
      <c r="CM31" s="41"/>
      <c r="CN31" s="41"/>
      <c r="CO31" s="41"/>
      <c r="CP31" s="41"/>
      <c r="CQ31" s="41"/>
      <c r="CR31" s="41"/>
      <c r="CS31" s="41"/>
      <c r="CT31" s="41"/>
      <c r="CU31" s="41"/>
      <c r="CV31" s="41"/>
      <c r="CW31" s="41"/>
      <c r="CX31" s="41"/>
      <c r="CY31" s="41"/>
      <c r="CZ31" s="41"/>
      <c r="DA31" s="41"/>
      <c r="DB31" s="41"/>
    </row>
    <row r="32" spans="1:106" s="36" customFormat="1" ht="30" customHeight="1" thickBot="1" x14ac:dyDescent="0.3">
      <c r="A32" s="10"/>
      <c r="B32" s="91" t="s">
        <v>69</v>
      </c>
      <c r="C32" s="92" t="s">
        <v>25</v>
      </c>
      <c r="D32" s="93"/>
      <c r="E32" s="94"/>
      <c r="F32" s="94"/>
      <c r="G32" s="11"/>
      <c r="H32" s="3" t="str">
        <f t="shared" si="33"/>
        <v/>
      </c>
      <c r="I32" s="90"/>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116"/>
      <c r="AS32" s="90"/>
      <c r="AT32" s="41"/>
      <c r="AU32" s="41"/>
      <c r="AV32" s="41"/>
      <c r="AW32" s="41"/>
      <c r="AX32" s="41"/>
      <c r="AY32" s="41"/>
      <c r="AZ32" s="41"/>
      <c r="BA32" s="41"/>
      <c r="BB32" s="41"/>
      <c r="BC32" s="41"/>
      <c r="BD32" s="41"/>
      <c r="BE32" s="41"/>
      <c r="BF32" s="116"/>
      <c r="BG32" s="90"/>
      <c r="BH32" s="41"/>
      <c r="BI32" s="41"/>
      <c r="BJ32" s="41"/>
      <c r="BK32" s="41"/>
      <c r="BL32" s="41"/>
      <c r="BM32" s="41"/>
      <c r="BN32" s="41"/>
      <c r="BO32" s="41"/>
      <c r="BP32" s="41"/>
      <c r="BQ32" s="41"/>
      <c r="BR32" s="41"/>
      <c r="BS32" s="41"/>
      <c r="BT32" s="116"/>
      <c r="BU32" s="90"/>
      <c r="BV32" s="41"/>
      <c r="BW32" s="41"/>
      <c r="BX32" s="41"/>
      <c r="BY32" s="41"/>
      <c r="BZ32" s="41"/>
      <c r="CA32" s="41"/>
      <c r="CB32" s="41"/>
      <c r="CC32" s="41"/>
      <c r="CD32" s="41"/>
      <c r="CE32" s="41"/>
      <c r="CF32" s="41"/>
      <c r="CG32" s="41"/>
      <c r="CH32" s="116"/>
      <c r="CI32" s="90"/>
      <c r="CJ32" s="41"/>
      <c r="CK32" s="41"/>
      <c r="CL32" s="41"/>
      <c r="CM32" s="41"/>
      <c r="CN32" s="41"/>
      <c r="CO32" s="41"/>
      <c r="CP32" s="41"/>
      <c r="CQ32" s="41"/>
      <c r="CR32" s="41"/>
      <c r="CS32" s="41"/>
      <c r="CT32" s="41"/>
      <c r="CU32" s="41"/>
      <c r="CV32" s="41"/>
      <c r="CW32" s="41"/>
      <c r="CX32" s="41"/>
      <c r="CY32" s="41"/>
      <c r="CZ32" s="41"/>
      <c r="DA32" s="41"/>
      <c r="DB32" s="41"/>
    </row>
    <row r="33" spans="1:1" s="36" customFormat="1" ht="30" customHeight="1" x14ac:dyDescent="0.25">
      <c r="A33" s="10"/>
    </row>
    <row r="34" spans="1:1" s="36" customFormat="1" ht="30" customHeight="1" x14ac:dyDescent="0.25">
      <c r="A34" s="10"/>
    </row>
    <row r="35" spans="1:1" s="36" customFormat="1" ht="30" customHeight="1" x14ac:dyDescent="0.25">
      <c r="A35" s="10"/>
    </row>
  </sheetData>
  <mergeCells count="24">
    <mergeCell ref="CV4:DB4"/>
    <mergeCell ref="BM4:BS4"/>
    <mergeCell ref="BT4:BZ4"/>
    <mergeCell ref="CA4:CG4"/>
    <mergeCell ref="CH4:CN4"/>
    <mergeCell ref="CO4:CU4"/>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phoneticPr fontId="29" type="noConversion"/>
  <conditionalFormatting sqref="D7:D32">
    <cfRule type="dataBar" priority="82">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11">
    <cfRule type="expression" dxfId="18" priority="66" stopIfTrue="1">
      <formula>AND(task_end&gt;=I$5,task_start&lt;J$5)</formula>
    </cfRule>
  </conditionalFormatting>
  <conditionalFormatting sqref="I13:BL17">
    <cfRule type="expression" dxfId="17" priority="64" stopIfTrue="1">
      <formula>AND(task_end&gt;=I$5,task_start&lt;J$5)</formula>
    </cfRule>
  </conditionalFormatting>
  <conditionalFormatting sqref="I19:BL23">
    <cfRule type="expression" dxfId="16" priority="62" stopIfTrue="1">
      <formula>AND(task_end&gt;=I$5,task_start&lt;J$5)</formula>
    </cfRule>
  </conditionalFormatting>
  <conditionalFormatting sqref="I25:BL29">
    <cfRule type="expression" dxfId="15" priority="95">
      <formula>AND(task_start&lt;=I$5,ROUNDDOWN((task_end-task_start+1)*task_progress,0)+task_start-1&gt;=I$5)</formula>
    </cfRule>
    <cfRule type="expression" dxfId="14" priority="96" stopIfTrue="1">
      <formula>AND(task_end&gt;=I$5,task_start&lt;J$5)</formula>
    </cfRule>
  </conditionalFormatting>
  <conditionalFormatting sqref="I31:BL32">
    <cfRule type="expression" dxfId="13" priority="4">
      <formula>AND(task_start&lt;=I$5,ROUNDDOWN((task_end-task_start+1)*task_progress,0)+task_start-1&gt;=I$5)</formula>
    </cfRule>
    <cfRule type="expression" dxfId="12" priority="5" stopIfTrue="1">
      <formula>AND(task_end&gt;=I$5,task_start&lt;J$5)</formula>
    </cfRule>
  </conditionalFormatting>
  <conditionalFormatting sqref="I4:DB29">
    <cfRule type="expression" dxfId="11" priority="60">
      <formula>AND(TODAY()&gt;=I$5, TODAY()&lt;J$5)</formula>
    </cfRule>
  </conditionalFormatting>
  <conditionalFormatting sqref="I9:DB11">
    <cfRule type="expression" dxfId="10" priority="10">
      <formula>AND(task_start&lt;=I$5,ROUNDDOWN((task_end-task_start+1)*task_progress,0)+task_start-1&gt;=I$5)</formula>
    </cfRule>
  </conditionalFormatting>
  <conditionalFormatting sqref="I13:DB17">
    <cfRule type="expression" dxfId="9" priority="8">
      <formula>AND(task_start&lt;=I$5,ROUNDDOWN((task_end-task_start+1)*task_progress,0)+task_start-1&gt;=I$5)</formula>
    </cfRule>
  </conditionalFormatting>
  <conditionalFormatting sqref="I19:DB23">
    <cfRule type="expression" dxfId="8" priority="6">
      <formula>AND(task_start&lt;=I$5,ROUNDDOWN((task_end-task_start+1)*task_progress,0)+task_start-1&gt;=I$5)</formula>
    </cfRule>
  </conditionalFormatting>
  <conditionalFormatting sqref="I30:DB32">
    <cfRule type="expression" dxfId="7" priority="3">
      <formula>AND(TODAY()&gt;=I$5, TODAY()&lt;J$5)</formula>
    </cfRule>
  </conditionalFormatting>
  <conditionalFormatting sqref="BM9:DB11">
    <cfRule type="expression" dxfId="6" priority="11" stopIfTrue="1">
      <formula>AND(task_end&gt;=BM$5,task_start&lt;BN$5)</formula>
    </cfRule>
  </conditionalFormatting>
  <conditionalFormatting sqref="BM13:DB17">
    <cfRule type="expression" dxfId="5" priority="9" stopIfTrue="1">
      <formula>AND(task_end&gt;=BM$5,task_start&lt;BN$5)</formula>
    </cfRule>
  </conditionalFormatting>
  <conditionalFormatting sqref="BM19:DB23">
    <cfRule type="expression" dxfId="4" priority="7" stopIfTrue="1">
      <formula>AND(task_end&gt;=BM$5,task_start&lt;BN$5)</formula>
    </cfRule>
  </conditionalFormatting>
  <conditionalFormatting sqref="BM25:DB29">
    <cfRule type="expression" dxfId="3" priority="12">
      <formula>AND(task_start&lt;=BM$5,ROUNDDOWN((task_end-task_start+1)*task_progress,0)+task_start-1&gt;=BM$5)</formula>
    </cfRule>
    <cfRule type="expression" dxfId="2" priority="13" stopIfTrue="1">
      <formula>AND(task_end&gt;=BM$5,task_start&lt;BN$5)</formula>
    </cfRule>
  </conditionalFormatting>
  <conditionalFormatting sqref="BM31:DB32">
    <cfRule type="expression" dxfId="1" priority="1">
      <formula>AND(task_start&lt;=BM$5,ROUNDDOWN((task_end-task_start+1)*task_progress,0)+task_start-1&gt;=BM$5)</formula>
    </cfRule>
    <cfRule type="expression" dxfId="0" priority="2" stopIfTrue="1">
      <formula>AND(task_end&gt;=BM$5,task_start&lt;BN$5)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4 A30" xr:uid="{DE54E5DE-526D-4D71-8D03-E99B4AB2FEE5}"/>
  </dataValidations>
  <printOptions horizontalCentered="1"/>
  <pageMargins left="0.35" right="0.35" top="0.35" bottom="0.5" header="0.3" footer="0.3"/>
  <pageSetup scale="35"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baseColWidth="10" defaultColWidth="9" defaultRowHeight="13.2" x14ac:dyDescent="0.25"/>
  <cols>
    <col min="1" max="1" width="87" style="4" customWidth="1"/>
    <col min="2" max="16384" width="9" style="1"/>
  </cols>
  <sheetData>
    <row r="1" spans="1:2" ht="46.5" customHeight="1" x14ac:dyDescent="0.25"/>
    <row r="2" spans="1:2" s="6" customFormat="1" ht="15.6" x14ac:dyDescent="0.25">
      <c r="A2" s="77" t="s">
        <v>2</v>
      </c>
      <c r="B2" s="5"/>
    </row>
    <row r="3" spans="1:2" s="8" customFormat="1" ht="27" customHeight="1" x14ac:dyDescent="0.25">
      <c r="A3" s="78"/>
      <c r="B3" s="9"/>
    </row>
    <row r="4" spans="1:2" s="7" customFormat="1" ht="30" x14ac:dyDescent="0.7">
      <c r="A4" s="79" t="s">
        <v>10</v>
      </c>
    </row>
    <row r="5" spans="1:2" ht="74.25" customHeight="1" x14ac:dyDescent="0.25">
      <c r="A5" s="80" t="s">
        <v>11</v>
      </c>
    </row>
    <row r="6" spans="1:2" ht="26.25" customHeight="1" x14ac:dyDescent="0.25">
      <c r="A6" s="79" t="s">
        <v>12</v>
      </c>
    </row>
    <row r="7" spans="1:2" s="4" customFormat="1" ht="205.2" customHeight="1" x14ac:dyDescent="0.25">
      <c r="A7" s="81" t="s">
        <v>13</v>
      </c>
    </row>
    <row r="8" spans="1:2" s="7" customFormat="1" ht="30" x14ac:dyDescent="0.7">
      <c r="A8" s="79" t="s">
        <v>14</v>
      </c>
    </row>
    <row r="9" spans="1:2" ht="41.4" x14ac:dyDescent="0.25">
      <c r="A9" s="80" t="s">
        <v>15</v>
      </c>
    </row>
    <row r="10" spans="1:2" s="4" customFormat="1" ht="28.2" customHeight="1" x14ac:dyDescent="0.25">
      <c r="A10" s="82" t="s">
        <v>16</v>
      </c>
    </row>
    <row r="11" spans="1:2" s="7" customFormat="1" ht="30" x14ac:dyDescent="0.7">
      <c r="A11" s="79" t="s">
        <v>17</v>
      </c>
    </row>
    <row r="12" spans="1:2" ht="27.6" x14ac:dyDescent="0.25">
      <c r="A12" s="80" t="s">
        <v>18</v>
      </c>
    </row>
    <row r="13" spans="1:2" s="4" customFormat="1" ht="28.2" customHeight="1" x14ac:dyDescent="0.25">
      <c r="A13" s="82" t="s">
        <v>19</v>
      </c>
    </row>
    <row r="14" spans="1:2" s="7" customFormat="1" ht="30" x14ac:dyDescent="0.7">
      <c r="A14" s="79" t="s">
        <v>20</v>
      </c>
    </row>
    <row r="15" spans="1:2" ht="75" customHeight="1" x14ac:dyDescent="0.25">
      <c r="A15" s="80" t="s">
        <v>21</v>
      </c>
    </row>
    <row r="16" spans="1:2" ht="69" x14ac:dyDescent="0.25">
      <c r="A16" s="80" t="s">
        <v>22</v>
      </c>
    </row>
    <row r="17" spans="1:1" x14ac:dyDescent="0.25">
      <c r="A17" s="83"/>
    </row>
    <row r="18" spans="1:1" x14ac:dyDescent="0.25">
      <c r="A18" s="83"/>
    </row>
    <row r="19" spans="1:1" x14ac:dyDescent="0.25">
      <c r="A19" s="83"/>
    </row>
    <row r="20" spans="1:1" x14ac:dyDescent="0.25">
      <c r="A20" s="83"/>
    </row>
    <row r="21" spans="1:1" x14ac:dyDescent="0.25">
      <c r="A21" s="83"/>
    </row>
    <row r="22" spans="1:1" x14ac:dyDescent="0.25">
      <c r="A22" s="83"/>
    </row>
    <row r="23" spans="1:1" x14ac:dyDescent="0.25">
      <c r="A23" s="83"/>
    </row>
    <row r="24" spans="1:1" x14ac:dyDescent="0.25">
      <c r="A24" s="83"/>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dcmitype/"/>
    <ds:schemaRef ds:uri="http://schemas.microsoft.com/sharepoint/v3"/>
    <ds:schemaRef ds:uri="http://purl.org/dc/elements/1.1/"/>
    <ds:schemaRef ds:uri="http://schemas.microsoft.com/office/infopath/2007/PartnerControls"/>
    <ds:schemaRef ds:uri="230e9df3-be65-4c73-a93b-d1236ebd677e"/>
    <ds:schemaRef ds:uri="http://purl.org/dc/terms/"/>
    <ds:schemaRef ds:uri="http://schemas.microsoft.com/office/2006/metadata/properties"/>
    <ds:schemaRef ds:uri="http://schemas.openxmlformats.org/package/2006/metadata/core-properties"/>
    <ds:schemaRef ds:uri="http://www.w3.org/XML/1998/namespace"/>
    <ds:schemaRef ds:uri="http://schemas.microsoft.com/office/2006/documentManagement/types"/>
    <ds:schemaRef ds:uri="16c05727-aa75-4e4a-9b5f-8a80a1165891"/>
    <ds:schemaRef ds:uri="71af3243-3dd4-4a8d-8c0d-dd76da1f02a5"/>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6</vt:i4>
      </vt:variant>
    </vt:vector>
  </HeadingPairs>
  <TitlesOfParts>
    <vt:vector size="8" baseType="lpstr">
      <vt:lpstr>Project schedule</vt:lpstr>
      <vt:lpstr>About</vt:lpstr>
      <vt:lpstr>Display_Week</vt:lpstr>
      <vt:lpstr>'Project schedule'!Drucktitel</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Lukas</dc:creator>
  <cp:keywords/>
  <dc:description/>
  <cp:lastModifiedBy>Buchmann Lukas (buchmluk)</cp:lastModifiedBy>
  <cp:revision/>
  <cp:lastPrinted>2025-09-19T09:16:49Z</cp:lastPrinted>
  <dcterms:created xsi:type="dcterms:W3CDTF">2025-09-18T06:46:28Z</dcterms:created>
  <dcterms:modified xsi:type="dcterms:W3CDTF">2025-09-29T08:30:56Z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